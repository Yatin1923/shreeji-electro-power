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workbookPr defaultThemeVersion="166925"/>
  <mc:AlternateContent xmlns:mc="http://schemas.openxmlformats.org/markup-compatibility/2006">
    <mc:Choice Requires="x15">
      <x15ac:absPath xmlns:x15ac="http://schemas.microsoft.com/office/spreadsheetml/2010/11/ac" url="D:\working\waccache\PN1PEPF00007E6F\EXCELCNV\a213303a-cbfa-429a-bc68-a949862f7bb0\"/>
    </mc:Choice>
  </mc:AlternateContent>
  <xr:revisionPtr revIDLastSave="0" documentId="8_{ADFFF16D-59F8-4EE2-9129-82EFA3069DEA}" xr6:coauthVersionLast="47" xr6:coauthVersionMax="47" xr10:uidLastSave="{00000000-0000-0000-0000-000000000000}"/>
  <bookViews>
    <workbookView xWindow="-60" yWindow="-60" windowWidth="15480" windowHeight="11640" xr2:uid="{B73A2899-EF72-428F-83FE-272087182214}"/>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7" i="1" l="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92" i="1"/>
  <c r="A93" i="1"/>
  <c r="A94" i="1"/>
  <c r="A95" i="1"/>
  <c r="A96" i="1"/>
  <c r="A97" i="1"/>
  <c r="A98" i="1"/>
  <c r="A99" i="1"/>
  <c r="A100" i="1"/>
  <c r="A101" i="1"/>
  <c r="A102" i="1"/>
  <c r="A103" i="1"/>
  <c r="A104" i="1"/>
  <c r="A105" i="1"/>
  <c r="A106" i="1"/>
  <c r="A77" i="1"/>
  <c r="A78" i="1"/>
  <c r="A79" i="1"/>
  <c r="A80" i="1"/>
  <c r="A81" i="1"/>
  <c r="A82" i="1"/>
  <c r="A83" i="1"/>
  <c r="A84" i="1"/>
  <c r="A85" i="1"/>
  <c r="A86" i="1"/>
  <c r="A87" i="1"/>
  <c r="A88" i="1"/>
  <c r="A89" i="1"/>
  <c r="A90" i="1"/>
  <c r="A91" i="1"/>
  <c r="A62" i="1"/>
  <c r="A63" i="1"/>
  <c r="A64" i="1"/>
  <c r="A65" i="1"/>
  <c r="A66" i="1"/>
  <c r="A67" i="1"/>
  <c r="A68" i="1"/>
  <c r="A69" i="1"/>
  <c r="A70" i="1"/>
  <c r="A71" i="1"/>
  <c r="A72" i="1"/>
  <c r="A73" i="1"/>
  <c r="A74" i="1"/>
  <c r="A75" i="1"/>
  <c r="A76" i="1"/>
  <c r="A47" i="1"/>
  <c r="A48" i="1"/>
  <c r="A49" i="1"/>
  <c r="A50" i="1"/>
  <c r="A51" i="1"/>
  <c r="A52" i="1"/>
  <c r="A53" i="1"/>
  <c r="A54" i="1"/>
  <c r="A55" i="1"/>
  <c r="A56" i="1"/>
  <c r="A57" i="1"/>
  <c r="A58" i="1"/>
  <c r="A59" i="1"/>
  <c r="A60" i="1"/>
  <c r="A61" i="1"/>
  <c r="A41" i="1"/>
  <c r="A42" i="1"/>
  <c r="A43" i="1"/>
  <c r="A44" i="1"/>
  <c r="A45" i="1"/>
  <c r="A46" i="1"/>
  <c r="A35" i="1"/>
  <c r="A36" i="1"/>
  <c r="A37" i="1"/>
  <c r="A38" i="1"/>
  <c r="A39" i="1"/>
  <c r="A40" i="1"/>
  <c r="A21" i="1"/>
  <c r="A22" i="1"/>
  <c r="A23" i="1"/>
  <c r="A24" i="1"/>
  <c r="A25" i="1"/>
  <c r="A26" i="1"/>
  <c r="A27" i="1"/>
  <c r="A28" i="1"/>
  <c r="A29" i="1"/>
  <c r="A30" i="1"/>
  <c r="A31" i="1"/>
  <c r="A32" i="1"/>
  <c r="A33" i="1"/>
  <c r="A34" i="1"/>
  <c r="A3" i="1"/>
  <c r="A4" i="1"/>
  <c r="A5" i="1"/>
  <c r="A6" i="1"/>
  <c r="A7" i="1"/>
  <c r="A8" i="1"/>
  <c r="A9" i="1"/>
  <c r="A10" i="1"/>
  <c r="A11" i="1"/>
  <c r="A12" i="1"/>
  <c r="A13" i="1"/>
  <c r="A14" i="1"/>
  <c r="A15" i="1"/>
  <c r="A16" i="1"/>
  <c r="A17" i="1"/>
  <c r="A18" i="1"/>
  <c r="A19" i="1"/>
  <c r="A20" i="1"/>
  <c r="A2" i="1"/>
</calcChain>
</file>

<file path=xl/sharedStrings.xml><?xml version="1.0" encoding="utf-8"?>
<sst xmlns="http://schemas.openxmlformats.org/spreadsheetml/2006/main" count="2094" uniqueCount="635">
  <si>
    <t>ID</t>
  </si>
  <si>
    <t>Product Name</t>
  </si>
  <si>
    <t>Product Category</t>
  </si>
  <si>
    <t>Voltage Rating</t>
  </si>
  <si>
    <t>Conductor Material</t>
  </si>
  <si>
    <t>Conductor Type</t>
  </si>
  <si>
    <t>Number of Cores</t>
  </si>
  <si>
    <t>Insulation Material</t>
  </si>
  <si>
    <t>Armoring Type</t>
  </si>
  <si>
    <t>Outer Sheath</t>
  </si>
  <si>
    <t>Standards</t>
  </si>
  <si>
    <t>Key Features</t>
  </si>
  <si>
    <t>Applications</t>
  </si>
  <si>
    <t>Description</t>
  </si>
  <si>
    <t>Polycab MV 15kV AL UL 1072 TRXLPE 133%</t>
  </si>
  <si>
    <t>MV Power Cable</t>
  </si>
  <si>
    <t>15kV</t>
  </si>
  <si>
    <t>Aluminum Alloy</t>
  </si>
  <si>
    <t>Class B Compact Stranded 8000 series</t>
  </si>
  <si>
    <t>Single Core</t>
  </si>
  <si>
    <t>TRXLPE (133% insulation level)</t>
  </si>
  <si>
    <t>Copper Tape</t>
  </si>
  <si>
    <t>PVC Sheath</t>
  </si>
  <si>
    <t>UL 1072, ICEA S-97-682, ICEA S-93-639</t>
  </si>
  <si>
    <t>High life, Sunlight resistance, Moisture resistant, Corona resistant, Flame retardant</t>
  </si>
  <si>
    <t>Power transmission and distribution, wet and dry areas, conduits, ducts, direct burial</t>
  </si>
  <si>
    <t>Class B compact stranded 8000 series aluminum alloy conductor, semiconducting extruded, crosslinked TRXLPE insulated, semiconducting extruded, copper taped and overall PVC sheathed 15 KV MV cable</t>
  </si>
  <si>
    <t>Polycab MV SC Cu EPR ICEA/NEMA 25kV</t>
  </si>
  <si>
    <t>25kV</t>
  </si>
  <si>
    <t>Copper</t>
  </si>
  <si>
    <t>Stranded</t>
  </si>
  <si>
    <t>EPR</t>
  </si>
  <si>
    <t>PVC</t>
  </si>
  <si>
    <t>ANSI/ICEA S-93-639</t>
  </si>
  <si>
    <t>Flame Retardant, High life, Sunlight resistant, Oil/acid/alkalis resistant, Corona resistant, Treeing resistant</t>
  </si>
  <si>
    <t>Conduits, ducts, troughs, trays, direct burial</t>
  </si>
  <si>
    <t>Stranded Cu conductor, EPR insulation with semi-conductive layer in triple extrusion, Cu tape screen, PVC outer sheath 25kV single core MV Power cable</t>
  </si>
  <si>
    <t>Polycab BS 6724 MC SWA LSZH 1.9/3.3kV AC</t>
  </si>
  <si>
    <t>1.9/3.3kV</t>
  </si>
  <si>
    <t>Multi Core</t>
  </si>
  <si>
    <t>3 Core</t>
  </si>
  <si>
    <t>XLPE</t>
  </si>
  <si>
    <t>Steel Wire Armored (SWA)</t>
  </si>
  <si>
    <t>LSZH</t>
  </si>
  <si>
    <t>BS 6724</t>
  </si>
  <si>
    <t>LSZH, Armored construction</t>
  </si>
  <si>
    <t>Building wiring, industrial installations</t>
  </si>
  <si>
    <t>Multi-core copper conductor with XLPE insulation, steel wire armored with LSZH outer sheath for 1.9/3.3kV AC applications</t>
  </si>
  <si>
    <t>Polycab MV Cu BS 6622 12.7/22kV</t>
  </si>
  <si>
    <t>12.7/22kV</t>
  </si>
  <si>
    <t>Stranded Compacted</t>
  </si>
  <si>
    <t>Single/Multi Core</t>
  </si>
  <si>
    <t>PVC/HDPE</t>
  </si>
  <si>
    <t>BS 6622</t>
  </si>
  <si>
    <t>UV resistant, Chemical resistant, Weather resistant, Water resistant</t>
  </si>
  <si>
    <t>Power distribution, external and direct burial, underground installations</t>
  </si>
  <si>
    <t>Copper conductor with XLPE insulation conforming to BS 6622 standard for medium voltage applications</t>
  </si>
  <si>
    <t>Polycab MV AL BS 7870-4-20 6.35/11kV</t>
  </si>
  <si>
    <t>6.35/11kV</t>
  </si>
  <si>
    <t>Aluminum</t>
  </si>
  <si>
    <t>Metallic Screen</t>
  </si>
  <si>
    <t>BS 7870-4-20</t>
  </si>
  <si>
    <t>Long life, UV resistant, Chemical resistant</t>
  </si>
  <si>
    <t>Power transmission networks, utilities</t>
  </si>
  <si>
    <t>Aluminum conductor with XLPE insulation designed for 6.35/11kV applications following BS 7870 standards</t>
  </si>
  <si>
    <t>Polycab MV SC AL XLPE AS-NZS 3.8/6.6kV</t>
  </si>
  <si>
    <t>3.8/6.6kV</t>
  </si>
  <si>
    <t>Copper Tape Screen</t>
  </si>
  <si>
    <t>AS-NZS 1429.1</t>
  </si>
  <si>
    <t>Long life, UV resistant, Water resistant</t>
  </si>
  <si>
    <t>Commercial, Industrial, Urban/Residential networks</t>
  </si>
  <si>
    <t>Stranded aluminum conductor, XLPE insulation with semi-conductive layer, copper tape screen for Australian/New Zealand applications</t>
  </si>
  <si>
    <t>Polycab MV AL BS 7835 19/33(36)kV</t>
  </si>
  <si>
    <t>19/33(36)kV</t>
  </si>
  <si>
    <t>BS 7835</t>
  </si>
  <si>
    <t>High voltage capacity, Weather resistant</t>
  </si>
  <si>
    <t>High voltage transmission, utility applications</t>
  </si>
  <si>
    <t>High voltage aluminum conductor cable with XLPE insulation for 19/33kV transmission applications</t>
  </si>
  <si>
    <t>Polycab MV IS 7098-II 3C A2XWY/A2XFY 6.35/11kV(E)</t>
  </si>
  <si>
    <t>6.35/11kV(E)</t>
  </si>
  <si>
    <t>GI Armored</t>
  </si>
  <si>
    <t>IS 7098-II</t>
  </si>
  <si>
    <t>Flame retardant, UV resistant, Higher dielectric strength, Better mechanical properties</t>
  </si>
  <si>
    <t>Power distribution, external and direct burial</t>
  </si>
  <si>
    <t>Stranded aluminum conductor, XLPE insulation, cores laid up, inner sheathed, GI armored with overall outer sheath</t>
  </si>
  <si>
    <t>Polycab MV 3C Cu EPR ICEA/NEMA 5kV</t>
  </si>
  <si>
    <t>5kV</t>
  </si>
  <si>
    <t>Flame Retardant, High life, Sunlight resistant, Oil resistant, Corona resistant</t>
  </si>
  <si>
    <t>Stranded Cu conductor, EPR insulation with semi-conductive layer, Cu tape screen, cores laid up, PVC outer sheath</t>
  </si>
  <si>
    <t>Polycab MV 1T Cu XLPE AS-NZS 6.35/11kV</t>
  </si>
  <si>
    <t>Copper Screen</t>
  </si>
  <si>
    <t>AS/NZS 1429.1</t>
  </si>
  <si>
    <t>Long life, UV resistant, Chemical resistant, Water resistant</t>
  </si>
  <si>
    <t>Commercial, Industrial, Urban networks</t>
  </si>
  <si>
    <t>Single core copper conductor with XLPE insulation for Australian/New Zealand applications</t>
  </si>
  <si>
    <t>Polycab MV AL IEC 60502-2 8.7/15kV</t>
  </si>
  <si>
    <t>8.7/15kV</t>
  </si>
  <si>
    <t>Circular Compacted</t>
  </si>
  <si>
    <t>IEC 60502-2</t>
  </si>
  <si>
    <t>High life, Sunlight resistance, Oil resistant, Flame retardant</t>
  </si>
  <si>
    <t>Circular compacted aluminum conductor, XLPE insulated, copper tape screened with PVC outer sheath</t>
  </si>
  <si>
    <t>Polycab MV IS 7098-II 3C A2XWY/A2XFY 1.9/3.3kV(E)</t>
  </si>
  <si>
    <t>1.9/3.3kV(E)</t>
  </si>
  <si>
    <t>High life, Flame retardant, UV resistant, Higher dielectric strength</t>
  </si>
  <si>
    <t>Three core aluminum conductor with XLPE insulation, GI armored construction for low/medium voltage applications</t>
  </si>
  <si>
    <t>Polycab BS 6724 SC AWA LSZH 1.9/3.3kV AC</t>
  </si>
  <si>
    <t>1 Core</t>
  </si>
  <si>
    <t>Aluminum Wire Armored (AWA)</t>
  </si>
  <si>
    <t>LSZH, Armored, Low smoke</t>
  </si>
  <si>
    <t>Building infrastructure, fire-sensitive applications</t>
  </si>
  <si>
    <t>Single core cable with aluminum wire armor and LSZH outer sheath for enhanced fire safety</t>
  </si>
  <si>
    <t>Polycab MV IS 7098-II 1C 2XWaY/2XFaY 11/11kV(UE)</t>
  </si>
  <si>
    <t>11/11kV(UE)</t>
  </si>
  <si>
    <t>Aluminum Armored</t>
  </si>
  <si>
    <t>Stranded copper conductor, XLPE insulation with semi-conductive layer, aluminum armored construction</t>
  </si>
  <si>
    <t>Polycab MV Cu BS 7835 6.35/11(12)kV</t>
  </si>
  <si>
    <t>6.35/11(12)kV</t>
  </si>
  <si>
    <t>Weather resistant, Chemical resistant</t>
  </si>
  <si>
    <t>Power networks, underground installations</t>
  </si>
  <si>
    <t>Copper conductor with XLPE insulation following BS 7835 specifications</t>
  </si>
  <si>
    <t>Polycab MV IS 7098-II 3C 2XWY 2XFY 1.9/3.3kV(E)</t>
  </si>
  <si>
    <t>Flame retardant, UV resistant, Higher dielectric strength</t>
  </si>
  <si>
    <t>Power distribution applications</t>
  </si>
  <si>
    <t>Three core copper conductor with XLPE insulation and galvanized steel armor</t>
  </si>
  <si>
    <t>Polycab MV 15kV Cu UL 1072 TR-XLPE 100%</t>
  </si>
  <si>
    <t>TR-XLPE (100% insulation level)</t>
  </si>
  <si>
    <t>UL 1072, ICEA S-97-682</t>
  </si>
  <si>
    <t>Tree retardant, High life, Corona resistant</t>
  </si>
  <si>
    <t>Power transmission and distribution</t>
  </si>
  <si>
    <t>Copper conductor with tree-retardant XLPE insulation for enhanced electrical performance</t>
  </si>
  <si>
    <t>Polycab MV Cu IEC 60502-2 6.0/10kV</t>
  </si>
  <si>
    <t>6.0/10kV</t>
  </si>
  <si>
    <t>High life, Sunlight resistance, Oil resistant</t>
  </si>
  <si>
    <t>Power networks, underground, cable ducting</t>
  </si>
  <si>
    <t>Copper conductor with XLPE insulation conforming to IEC international standards</t>
  </si>
  <si>
    <t>Polycab MV AL BS 6622 12.7/22kV</t>
  </si>
  <si>
    <t>Long life, Weather resistant</t>
  </si>
  <si>
    <t>Power transmission, utilities</t>
  </si>
  <si>
    <t>Aluminum conductor version with XLPE insulation following BS 6622 specifications</t>
  </si>
  <si>
    <t>Polycab MV IS 7098-II 3C A2XWY/A2XFY 12.7/22kV(E)</t>
  </si>
  <si>
    <t>12.7/22kV(E)</t>
  </si>
  <si>
    <t>Power distribution, external burial</t>
  </si>
  <si>
    <t>Three core aluminum conductor with enhanced insulation for higher voltage applications</t>
  </si>
  <si>
    <t>Polycab MV 1T AL XLPE AS-NZS 3.8/6.6kV</t>
  </si>
  <si>
    <t>HDPE</t>
  </si>
  <si>
    <t>Long life, UV resistant, Water resistant, Termite resistant</t>
  </si>
  <si>
    <t>Commercial, Industrial applications</t>
  </si>
  <si>
    <t>Single core aluminum conductor designed for Australian/New Zealand market requirements</t>
  </si>
  <si>
    <t>Polycab MV 3C Cu XLPE AS-NZS 3.8/6.6kV</t>
  </si>
  <si>
    <t>Long life, Chemical resistant, Weather resistant</t>
  </si>
  <si>
    <t>Power supply networks</t>
  </si>
  <si>
    <t>Three core copper conductor with XLPE insulation for medium voltage applications</t>
  </si>
  <si>
    <t>Polycab MV AL BS 7835 8.7/15(15)kV</t>
  </si>
  <si>
    <t>High voltage transmission</t>
  </si>
  <si>
    <t>Aluminum conductor cable for higher voltage transmission applications</t>
  </si>
  <si>
    <t>Polycab MV IS 7098-II 3C 2XWY/2XFY 12.7/22kV(E)</t>
  </si>
  <si>
    <t>High life, Flame retardant, UV resistant, Better mechanical properties</t>
  </si>
  <si>
    <t>Three core copper conductor with semi-conductive layer and galvanized steel armor</t>
  </si>
  <si>
    <t>Polycab MV Cu IEC 60502-2 3.6/6.0kV</t>
  </si>
  <si>
    <t>3.6/6.0kV</t>
  </si>
  <si>
    <t>Power distribution networks</t>
  </si>
  <si>
    <t>Copper conductor with XLPE insulation for lower voltage MV applications</t>
  </si>
  <si>
    <t>Polycab MV IS 7098-II 1C 2XWaY/2XFaY 19/33kV(E)</t>
  </si>
  <si>
    <t>19/33kV(E)</t>
  </si>
  <si>
    <t>High life, Flame retardant, UV resistant</t>
  </si>
  <si>
    <t>High voltage power distribution</t>
  </si>
  <si>
    <t>Single core copper conductor for high voltage applications with enhanced protection</t>
  </si>
  <si>
    <t>Polycab MV 35kV Cu UL 1072 EPR 133%</t>
  </si>
  <si>
    <t>35kV</t>
  </si>
  <si>
    <t>EPR (133% insulation level)</t>
  </si>
  <si>
    <t>UL 1072, ICEA S-108-720</t>
  </si>
  <si>
    <t>High voltage, Corona resistant, Tree resistant</t>
  </si>
  <si>
    <t>High voltage transmission systems</t>
  </si>
  <si>
    <t>High voltage copper conductor with EPR insulation for demanding electrical applications</t>
  </si>
  <si>
    <t>Polycab MV SC AL EPR ICEA/NEMA 35kV</t>
  </si>
  <si>
    <t>High voltage capacity, Corona resistant</t>
  </si>
  <si>
    <t>High voltage power systems</t>
  </si>
  <si>
    <t>Single core aluminum conductor with EPR insulation for 35kV applications</t>
  </si>
  <si>
    <t>Polycab MV SC Cu XLPE AS-NZS 19/33kV</t>
  </si>
  <si>
    <t>19/33kV</t>
  </si>
  <si>
    <t>High voltage, Weather resistant, UV resistant</t>
  </si>
  <si>
    <t>High voltage transmission networks</t>
  </si>
  <si>
    <t>High voltage single core copper conductor for Australian/New Zealand specifications</t>
  </si>
  <si>
    <t>Polycab MV IS 7098-II 1C 2XWaY/2XFaY 12.7/22kV(E)</t>
  </si>
  <si>
    <t>Power distribution systems</t>
  </si>
  <si>
    <t>Single core copper conductor with XLPE insulation and aluminum armor protection</t>
  </si>
  <si>
    <t>Polycab MV SC AL EPR ICEA/NEMA 25kV</t>
  </si>
  <si>
    <t>Cu tape screen</t>
  </si>
  <si>
    <t>Conduits, ducts, troughs, trays, direct burial in wet and dry conditions for power supply to wide networks</t>
  </si>
  <si>
    <t>Stranded Al conductor, EPR insulation with semi conductive layer in triple extrusion, Cu tape screen, PVC Outer sheath 25kV MV Power cable suitable for power supply to wide networks</t>
  </si>
  <si>
    <t>Polycab MV 35kV Cu UL 1072 TRXLPE 133%</t>
  </si>
  <si>
    <t>Class B compressed stranded</t>
  </si>
  <si>
    <t>TRXLPE</t>
  </si>
  <si>
    <t>Cu tape</t>
  </si>
  <si>
    <t>Transmission and distribution of electrical energy in wet and dry areas, conduits, ducts, troughs, trays, direct burial</t>
  </si>
  <si>
    <t>Class B compressed stranded copper conductor, Semiconducting extruded, TRXLPE insulated (133% insulation level), semiconducting extruded, Copper taped and overall PVC sheathed 35 KV MV cable</t>
  </si>
  <si>
    <t>Polycab MV AL BS 7870-4-10 19/33kV</t>
  </si>
  <si>
    <t>XLPE/EPR</t>
  </si>
  <si>
    <t>Cu wire &amp; Cu tape screen</t>
  </si>
  <si>
    <t>BS 7870-4-10</t>
  </si>
  <si>
    <t>Higher dielectric strength, UV/Oil resistant, Better resistance to surge current, Better electrical/mechanical/thermal properties, Low smoke emission</t>
  </si>
  <si>
    <t>Power networks, underground direct buried or in cable ducting</t>
  </si>
  <si>
    <t>Single core Stranded Aluminium conductor, conductor screened, XLPE or EPR insulated, insulation screened, copper wire screened &amp; copper tape, plain water swellable tape, LSZH outer sheath</t>
  </si>
  <si>
    <t>Polycab MV SC Cu EPR ICEA/NEMA 35kV</t>
  </si>
  <si>
    <t>Stranded Cu conductor, EPR insulation with semi conductive layer in triple extrusion, Cu tape screen, PVC Outer sheath 35kV MV Power cable</t>
  </si>
  <si>
    <t>Polycab MV SC AL XLPE ATR AS-NZS 6.35/11kV</t>
  </si>
  <si>
    <t>Cu tape with Cu wire screen</t>
  </si>
  <si>
    <t>Long life, UV resistant, Resistant to chemical exposure, Resistant to water, Resistant to weather exposure, Termite resistant</t>
  </si>
  <si>
    <t>Power supply to wide networks - Commercial, Industrial and Urban/Residential</t>
  </si>
  <si>
    <t>Stranded Al conductor, XLPE insulation with semi conductive layer in triple extrusion, water blocking tape over &amp; below Cu tape screen, Cu tape with Cu wire Screen, PVC Inner layer with Termite protection &amp; Overall HDPE sheath</t>
  </si>
  <si>
    <t>Polycab MV SC AL EPR ICEA/NEMA 5kV</t>
  </si>
  <si>
    <t>Stranded Al conductor, EPR insulation with semi conductive layer in triple extrusion, Cu tape screen, PVC Outer sheath 5kV MV Power cable</t>
  </si>
  <si>
    <t>Polycab MV IS 7098-II 1C 2XWaY/2XFaY 1.9/3.3kV(E)</t>
  </si>
  <si>
    <t>Aluminium armored</t>
  </si>
  <si>
    <t>Overall outer sheath</t>
  </si>
  <si>
    <t>High life, Flame retardant, UV resistant, Higher dielectric strength, Better mechanical and thermal properties</t>
  </si>
  <si>
    <t>Power distribution for external and direct burial applications in power network system</t>
  </si>
  <si>
    <t>Stranded copper conductor, XLPE insulation, Aluminium armored &amp; Overall outer sheathed 1.9/3.3 KV(E) MV Power cable</t>
  </si>
  <si>
    <t>Polycab MV 15kV AL 1072 TRXLPE 100%</t>
  </si>
  <si>
    <t>Class B compact stranded 8000 series</t>
  </si>
  <si>
    <t>Class B compact stranded 8000 series aluminium alloy conductor, Semiconducting extruded, Crosslinked TRXLPE insulated (100% insulation level), semiconducting extruded, Copper taped and overall PVC sheathed 15 KV MV cable</t>
  </si>
  <si>
    <t>Polycab MV 3C AL XLPE AS-NZS 19/33kV</t>
  </si>
  <si>
    <t>PVC with Termite protection</t>
  </si>
  <si>
    <t>Long life, UV resistant, Resistant to chemical exposure, Resistant to water, Resistant to weather exposure</t>
  </si>
  <si>
    <t>Stranded Al conductor, XLPE insulation with semi conductive layer in triple extrusion, water blocking tape over &amp; below Cu tape screen, Cu tape with Cu wire Screen, Laid up with sheath, Lead sheath (Optional), PVC Outer sheath with Termite protection</t>
  </si>
  <si>
    <t>Polycab MV AL BS 7870-4-10 12.7/22kV</t>
  </si>
  <si>
    <t>Polycab BS 5467 MC(Shaped Conductor)1.9/3.3kV AC</t>
  </si>
  <si>
    <t>Stranded sector shaped</t>
  </si>
  <si>
    <t>Multiple</t>
  </si>
  <si>
    <t>GS round wire armoured</t>
  </si>
  <si>
    <t>PVC FRLS</t>
  </si>
  <si>
    <t>BS 5467</t>
  </si>
  <si>
    <t>Low flame propagation, Low smoke emission, High life, Resistant to weather exposure</t>
  </si>
  <si>
    <t>Fixed installation in industrial area, buildings, Power network in underground, outdoor, indoor applications where mechanical protection is required</t>
  </si>
  <si>
    <t>Stranded copper conductor, XLPE/EPR Insulated, Extruded Polymeric Bedding, GS round wire armoured, PVC FRLS Outer Sheathed 1.9/3.3 kV MV cable</t>
  </si>
  <si>
    <t>Polycab MV Cu BS 7870-4-10 6.35/11kV Triplex</t>
  </si>
  <si>
    <t>3 (Triplex)</t>
  </si>
  <si>
    <t>Single core Stranded Copper conductor, conductor screened, XLPE or EPR insulated, insulation screened, copper wire screened &amp; copper tape, plain water swellable tape, LSZH outer sheath, Triplex formation</t>
  </si>
  <si>
    <t>Polycab MV 3C AL XLPE AS-NZS 1.9/3.3kV</t>
  </si>
  <si>
    <t>Polycab MV 3C Cu EPR ICEA/NEMA 25kV</t>
  </si>
  <si>
    <t>Stranded Cu conductor, EPR insulation with semi conductive layer in triple extrusion, Cu tape screen, cores laid up, PVC Outer sheath 25kV 3C MV Power cable</t>
  </si>
  <si>
    <t>Polycab MV 3C Cu XLPE AS-NZS 12.7/22kV</t>
  </si>
  <si>
    <t>Stranded Cu conductor, XLPE insulation with semi conductive layer in triple extrusion, water blocking tape over &amp; below Cu tape screen, Cu tape with Cu wire Screen, cores laid up with Sheath, Lead sheath (Optional), PVC Outer sheath with Termite protection</t>
  </si>
  <si>
    <t>12.7/22(24) kV</t>
  </si>
  <si>
    <t>Single &amp; Multi-Core</t>
  </si>
  <si>
    <t>AL or GI wire armoured</t>
  </si>
  <si>
    <t>PVC or MDPE</t>
  </si>
  <si>
    <t>UV/Oil resistant, Flame retardant, High life</t>
  </si>
  <si>
    <t>Power network, underground application</t>
  </si>
  <si>
    <t>12.7/22 (24) kV XLPE insulated with Copper conductor single &amp; multi core cable is designed for power network, under ground application</t>
  </si>
  <si>
    <t>Conduits, ducts, troughs, trays, direct burial in wet and dry conditions</t>
  </si>
  <si>
    <t>POLYCAB MV 25KV EPR insulated with Copper conductor single core cable is suitable to use in conduits, ducts, troughs, trays, direct burial in wet and dry conditions for power supply to wide networks</t>
  </si>
  <si>
    <t>1.9/3.3 kV</t>
  </si>
  <si>
    <t>Multi-Core</t>
  </si>
  <si>
    <t>XLPE/EPR/HEPR</t>
  </si>
  <si>
    <t>Low flame propagation, Low smoke emission, High life, Halogen Free</t>
  </si>
  <si>
    <t>Fixed installation in indoor and outdoor power network, underground application, industrial areas and buildings where smoke emission and toxic fumes create a potential risk</t>
  </si>
  <si>
    <t>POLYCAB BS 6724 MC SWA LSZH stranded copper conductor thermosetting material insulated multicore Galvanised steel round wire armoured cable is designed for fixed installation in indoor and outdoor power network</t>
  </si>
  <si>
    <t>Aluminium</t>
  </si>
  <si>
    <t>Circular compacted</t>
  </si>
  <si>
    <t>Three Core</t>
  </si>
  <si>
    <t>Copper wire &amp; Tape screened</t>
  </si>
  <si>
    <t>Water swallowable tape &amp; Extruded MDPE</t>
  </si>
  <si>
    <t>POLYCAB MV AL BS 7870-4-20 6.35/11 KV compacted aluminium conductor, XLPE insulated, copper wire screened three core cable is designed for power networks, underground direct buried or in cable ducting</t>
  </si>
  <si>
    <t>Class B compact stranded 8000 series alloy</t>
  </si>
  <si>
    <t>Copper taped</t>
  </si>
  <si>
    <t>POLYCAB 15KV Class B Compact Stranded 8000 series Aluminium Alloy Conductor TRXLPE Insulated cable is suitable for transmission and distribution of electrical energy</t>
  </si>
  <si>
    <t>POLYCAB MV 5 KV EPR insulated with Copper conductor Three core cable is suitable to use in conduits, ducts, troughs, trays, direct burial in wet and dry conditions for power supply to wide networks</t>
  </si>
  <si>
    <t>Triplex</t>
  </si>
  <si>
    <t>Cu tape with Cu wire Screen</t>
  </si>
  <si>
    <t>Long life, UV resistant, Resistant to chemical exposure, Resistant to water(AD7/AD8 with HDPE), Resistant to weather exposure</t>
  </si>
  <si>
    <t>POLYCAB MV 6.35/11 KV XLPE insulated with Copper conductor Triplex cable is suitable to use for power supply to wide networks i.e. Commercial, Industrial and Urban / Residential</t>
  </si>
  <si>
    <t>Single &amp; Multi Core</t>
  </si>
  <si>
    <t>Higher dielectric strength, UV/Oil resistant, Better resistance to surge current, Better electrical/mechanical/thermal properties</t>
  </si>
  <si>
    <t>Power networks, underground and in cable ducting with low smoke &amp; low halogen evolution</t>
  </si>
  <si>
    <t>19/33 (36) kV XLPE insulated with aluminium conductor single &amp; multi core cable is designed for low smoke &amp; low halogen evolution and this suitable to use for power networks, underground and in cable ducting</t>
  </si>
  <si>
    <t>GI armored</t>
  </si>
  <si>
    <t>Overall outer sheathed</t>
  </si>
  <si>
    <t>POLYCAB MV 12.7/22 KV(E) XLPE insulated with copper conductor single core cable is suitable to use for power distribution for external and direct burial applications in power network system</t>
  </si>
  <si>
    <t>POLYCAB MV 11/11 KV(UE) XLPE insulated with copper conductor single core cable is suitable to use for power distribution for external and direct burial applications in power network system</t>
  </si>
  <si>
    <t>Aluminium Round wire armoured (Single core), GS round wire armoured (Multi-Core)</t>
  </si>
  <si>
    <t>Power networks, underground and in cable ducting</t>
  </si>
  <si>
    <t>POLYCAB MV 8.7/15 KV XLPE insulated with Aluminium conductor single &amp; multi core cable is suitable to use for power networks, underground and in cable ducting</t>
  </si>
  <si>
    <t>POLYCAB MV 1.9/3.3 KV(E) XLPE insulated with aluminium conductor single core cable is suitable to use for power distribution for external and direct burial applications in power network system</t>
  </si>
  <si>
    <t>Polycab MV IS 7098-II 3C A2XWY/A2XFY 3.3/3.3kV(UE)</t>
  </si>
  <si>
    <t>3.3/3.3kV(UE)</t>
  </si>
  <si>
    <t>POLYCAB MV 3.3/3.3 KV(UE) XLPE insulated with aluminium conductor single core cable is suitable to use for power distribution for external and direct burial applications in power network system</t>
  </si>
  <si>
    <t>Polycab MV AL IEC 60502-2 3.6/6.0kV</t>
  </si>
  <si>
    <t>Copper tape screen</t>
  </si>
  <si>
    <t>PVC/MDPE</t>
  </si>
  <si>
    <t>POLYCAB MV 3.6/6.0 KV XLPE insulated with Aluminium conductor single &amp; multi core cable is suitable to use for power networks, underground and in cable ducting</t>
  </si>
  <si>
    <t>Copper wire &amp; tape screen</t>
  </si>
  <si>
    <t>MDPE/PVC</t>
  </si>
  <si>
    <t>Commercial, Industrial and Urban/Residential networks</t>
  </si>
  <si>
    <t>POLYCAB MV 3.8/6.6 KV XLPE insulated with Aluminium conductor single core cable is suitable for power distribution in various network applications</t>
  </si>
  <si>
    <t>Polycab MV 15kV AL UL 1072 EPR 100%</t>
  </si>
  <si>
    <t>Aluminium Alloy (8000 series)</t>
  </si>
  <si>
    <t>Class B Compact Stranded</t>
  </si>
  <si>
    <t>EPR (100% insulation level)</t>
  </si>
  <si>
    <t>Not Specified</t>
  </si>
  <si>
    <t>Transmission and distribution, wet and dry areas, conduits, ducts, troughs, trays, direct burial</t>
  </si>
  <si>
    <t>Class B compact stranded 8000 series aluminium alloy conductor, Semiconducting extruded, Crosslinked EPR insulated (100% insulation level), semiconducting extruded, Copper taped and overall PVC sheathed 15 KV MV cable</t>
  </si>
  <si>
    <t>Polycab MV SC AL XLPE ATR AS-NZS 1.9/3.3kV</t>
  </si>
  <si>
    <t>XLPE with semi conductive layer</t>
  </si>
  <si>
    <t>HDPE with Termite protection</t>
  </si>
  <si>
    <t>Long life, UV resistant, Chemical exposure resistant, Water resistant, Weather exposure resistant, Termite resistant</t>
  </si>
  <si>
    <t>Commercial, Industrial, Urban/Residential power supply</t>
  </si>
  <si>
    <t>Stranded Al conductor, XLPE insulation with semi conductive layer in triple extrusion, water blocking tape over &amp; below Cu tape screen (Optional), Cu tape with Cu wire Screened, PVC Inner layer with Termite protection &amp; Overall HDPE sheath</t>
  </si>
  <si>
    <t>Polycab MV IS 7098-II 3C A2XWY/A2XFY 11/11kV(UE)</t>
  </si>
  <si>
    <t>Stranded aluminium conductor, XLPE insulation with semi conductive layer in triple extrusion, cores laid up, inner sheathed, GI armored &amp; Overall outer sheathed</t>
  </si>
  <si>
    <t>Polycab MV IS 7098-II 1C A2XWaY/A2XFaY 1.9/3.3kV(E)</t>
  </si>
  <si>
    <t>Aluminium Armored</t>
  </si>
  <si>
    <t>Stranded aluminium conductor, XLPE insulation, Aluminium armored &amp; Overall outer sheathed</t>
  </si>
  <si>
    <t>Polycab MV 3C Cu XLPE AS-NZS 19/33kV</t>
  </si>
  <si>
    <t>Long life, UV resistant, Chemical exposure resistant, Water resistant, Weather exposure resistant</t>
  </si>
  <si>
    <t>Stranded Cu conductor, XLPE insulation with semi conductive layer in triple extrusion, water blocking tape over &amp; below Cu tape screen (Optional), Cu tape with Cu wire Screen, cores laid up with Sheath, Lead sheath (Optional), PVC Outer sheath with Termite protection</t>
  </si>
  <si>
    <t>Polycab MV SC Cu XLPE AS-NZS 3.8/6.6kV</t>
  </si>
  <si>
    <t>Stranded Cu conductor, XLPE insulation with semi conductive layer in triple extrusion, water blocking tape over &amp; below Cu tape screen (Optional), Cu tape with Cu wire Screen, Lead sheath (Optional), PVC Outer sheath with Termite protection</t>
  </si>
  <si>
    <t>Polycab MV SC Cu EPR ICEA/NEMA 5kV</t>
  </si>
  <si>
    <t>EPR with semi conductive layer</t>
  </si>
  <si>
    <t>Stranded Cu conductor, EPR insulation with semi conductive layer in triple extrusion, Cu tape screen, PVC Outer sheath</t>
  </si>
  <si>
    <t>Polycab MV AL BS 6622 3.8/6.6kV</t>
  </si>
  <si>
    <t>UV/Oil resistant, Flame retardant, Oil resistant, UV resistant, High life</t>
  </si>
  <si>
    <t>Stranded aluminium conductor, conductor screened, XLPE insulated, insulation screened, laid up, pvc inner sheathed, AL or GI wire armoured</t>
  </si>
  <si>
    <t>Polycab MV SC AL XLPE ATR AS-NZS 3.8/6.6kV</t>
  </si>
  <si>
    <t>Stranded Al conductor, XLPE insulation with semi conductive layer in triple extrusion, water blocking tape over &amp; below Cu tape screen (Optional), Cu tape with Cu wire Screen, PVC Inner layer with Termite protection &amp; Overall HDPE sheath</t>
  </si>
  <si>
    <t>Polycab MV 3C AL EPR ICEA/NEMA 8kV</t>
  </si>
  <si>
    <t>8kV</t>
  </si>
  <si>
    <t>Stranded Al conductor, EPR insulation with semi conductive layer in triple extrusion, Cu tape screen, cores laid up, PVC Outer sheath</t>
  </si>
  <si>
    <t>Polycab MV AL BS 6622 19/33kV</t>
  </si>
  <si>
    <t>Polycab MV 3C AL XLPE ATR AS-NZS 1.9/3.3kV</t>
  </si>
  <si>
    <t>Stranded Al conductor, XLPE insulation with semi conductive layer in triple extrusion, water blocking tape over &amp; below Cu tape screen (Optional), Cu tape with Cu wire Screen, cores laid up, PVC Inner layer with Termite protection &amp; Overall HDPE sheath</t>
  </si>
  <si>
    <t>Polycab MV AL IEC 60502-2 6.0/10kV</t>
  </si>
  <si>
    <t>Aluminium Round wire (Single core), GS round wire (Multi-Core)</t>
  </si>
  <si>
    <t>Circular compacted AL conductor, Extruded semi-cond screened, XLPE insulated, Extruded Semi-Cond screened, Cu tape screened, Extruded PVC Inner sheathed, armoured &amp; PVC outer Sheath</t>
  </si>
  <si>
    <t>Polycab MV SC AL XLPE AS-NZS 19/33kV</t>
  </si>
  <si>
    <t>Stranded Al conductor, XLPE insulation with semi conductive layer in triple extrusion, water blocking tape over &amp; below Cu tape screen (Optional), Cu tape with Cu wire Screen, Lead sheath (Optional), PVC Outer sheath with Termite protection</t>
  </si>
  <si>
    <t>Polycab MV Cu UL 1072 5kV XLPE 100% OR 133%</t>
  </si>
  <si>
    <t>UL 1072</t>
  </si>
  <si>
    <t>100% or 133% insulation level, High life, Sunlight resistance</t>
  </si>
  <si>
    <t>Class B compact stranded Copper conductor, XLPE insulated cable suitable for transmission and distribution of electrical energy</t>
  </si>
  <si>
    <t>Polycab MV IS 7098-II 1C A2XWaY/A2XFaY 19/33kV(E)</t>
  </si>
  <si>
    <t>Single Core (1C)</t>
  </si>
  <si>
    <t>Stranded aluminium conductor, XLPE insulation with semi conductive layer in triple extrusion, inner sheathed, Aluminium armored &amp; Overall outer sheathed MV 19/33 KV(E) Power cable</t>
  </si>
  <si>
    <t>Polycab MV IS 7098-II 3C 2XWY/2XFY 3.8/6.6kV(E)</t>
  </si>
  <si>
    <t>3.8/6.6kV(E)</t>
  </si>
  <si>
    <t>Three Core (3C)</t>
  </si>
  <si>
    <t>Not specified</t>
  </si>
  <si>
    <t>Stranded copper conductor, XLPE insulation with semi conductive layer in triple extrusion, cores laid up, inner sheathed, GI armored &amp; Overall outer sheathed</t>
  </si>
  <si>
    <t>Polycab MV IS 7098-II 1C A2XWaY/A2XFaY 3.8/6.6kV(E)</t>
  </si>
  <si>
    <t>Stranded aluminium conductor, XLPE insulation with semi conductive layer in triple extrusion, inner sheathed, Aluminium armored &amp; Overall outer sheathed MV 3.8/6.6 KV(E) Power cable</t>
  </si>
  <si>
    <t>Polycab MV 3C AL EPR ICEA/NEMA 5kV</t>
  </si>
  <si>
    <t>PVC Outer sheath</t>
  </si>
  <si>
    <t>Stranded Al conductor, EPR insulation with semi conductive layer in triple extrusion, Cu tape screen, cores laid up, PVC Outer sheath 5kV 3C MV Power cable</t>
  </si>
  <si>
    <t>Polycab MV 3C AL XLPE ATR AS-NZS 19/33kV</t>
  </si>
  <si>
    <t>Water blocking tape</t>
  </si>
  <si>
    <t>PVC Inner layer with Termite protection &amp; Overall HDPE sheath</t>
  </si>
  <si>
    <t>Stranded Al conductor, XLPE insulation with semi conductive layer in triple extrusion, water blocking tape over &amp; below Cu tape screen, Cu tape with Cu wire Screen cores laid up with sheath, PVC Inner layer with Termite protection &amp; Overall HDPE sheath 19/33kV 3C MV Power cable</t>
  </si>
  <si>
    <t>Polycab MV15kV Cu UL 1072 TRXLPE 133%</t>
  </si>
  <si>
    <t>PVC sheathed</t>
  </si>
  <si>
    <t>Transmission and distribution of electrical energy - wet and dry areas, conduits, ducts, troughs, trays, direct burial</t>
  </si>
  <si>
    <t>Class B compressed stranded copper conductor, Semiconducting extruded, TRXLPE insulated(133% insulation level), semiconducting extruded, Copper taped and overall PVC sheathed 15 KV MV cable</t>
  </si>
  <si>
    <t>Polycab MV SC AL XLPE AS-NZS 12.7/22kV</t>
  </si>
  <si>
    <t>Single Core (SC)</t>
  </si>
  <si>
    <t>PVC Outer sheath with Termite protection</t>
  </si>
  <si>
    <t>Stranded Al conductor, XLPE insulation with semi conductive layer in triple extrusion, water blocking tape over &amp; below Cu tape screen, Cu tape with Cu wire Screen, Lead sheath (Optional), PVC Outer sheath with Termite protection 12.7/22KV SC MV Power cable</t>
  </si>
  <si>
    <t>Polycab MV IS 7098-II 1C 2XWaY/2XFaY 6.35/11kV(E)</t>
  </si>
  <si>
    <t>Stranded copper conductor, XLPE insulation with semi conductive layer in triple extrusion, inner sheathed, Aluminium armored &amp; Overall outer sheathed MV 6.35/11 KV(E) Power cable</t>
  </si>
  <si>
    <t>Polycab MV IS 7098-II 3C 2XWY/2XFY 11/11kV(UE)</t>
  </si>
  <si>
    <t>Stranded copper conductor, XLPE insulation with semi conductive layer in triple extrusion, cores laid up, inner sheathed, GI armored &amp; Overall outer sheathed 11/11 KV(UE) 3C MV Power cable</t>
  </si>
  <si>
    <t>Polycab MV 3C Cu EPR ICEA/NEMA 8kV</t>
  </si>
  <si>
    <t>Stranded Cu conductor, EPR insulation with semi conductive layer in triple extrusion, Cu tape screen, cores laid up, PVC Outer sheath 8kV 3C MV Power cable</t>
  </si>
  <si>
    <t>Polycab MV 3C AL XLPE ATR AS-NZS 12.7/22kV</t>
  </si>
  <si>
    <t>Stranded Al conductor, XLPE insulation with semi conductive layer in triple extrusion, water blocking tape over &amp; below Cu tape screen, Cu tape with Cu wire Screen cores laid up with sheath, PVC Inner layer with Termite protection &amp; Overall HDPE sheath 12.7/22kV 3C MV Power cable</t>
  </si>
  <si>
    <t>Polycab MV SC AL XLPE AS-NZS 1.9/3.3kV</t>
  </si>
  <si>
    <t>Cu tape with Cu wire Screened</t>
  </si>
  <si>
    <t>Stranded Al conductor, XLPE insulation with semi conductive layer in triple extrusion, water blocking tape over &amp; below Cu tape screen, Cu tape with Cu wire Screened, Lead sheath (Optional), PVC Outer sheath with Termite protection 1.9/3.3 KV(E) SC MV Power cable</t>
  </si>
  <si>
    <t>Polycab MV IS 7098-II 3C 2XWY/2XFY 3.3/3.3kV(UE)</t>
  </si>
  <si>
    <t>Stranded copper conductor, XLPE insulation, cores laid up, inner sheathed, GI armored &amp; Overall outer sheathed 3.3/3.3 KV(UE)3C MV Power cable</t>
  </si>
  <si>
    <t>Polycab MV Cu BS 6622 8.7/15kV</t>
  </si>
  <si>
    <t>PVC OR MDPE outer sheath</t>
  </si>
  <si>
    <t>Stranded copper conductor, conductor screened, XLPE insulated, insulation screened, laid up, pvc inner sheathed, AL or GI wire armoured, PVC OR MDPE outer sheath</t>
  </si>
  <si>
    <t>Polycab MV 15kV Cu UL 1072 EPR 133%</t>
  </si>
  <si>
    <t>Crosslinked EPR (133% insulation level)</t>
  </si>
  <si>
    <t>Class B compressed stranded copper conductor, Semiconducting extruded, Crosslinked EPR insulated(133% insulation level), semiconducting extruded, Copper taped and overall PVC sheathed 15 KV MV cable</t>
  </si>
  <si>
    <t>Stranded aluminium conductor, XLPE insulation, cores laid up,inner sheathed, GI armored &amp; Overall outer sheathed 3.3/3.3 KV(UE)3C MV Power cable</t>
  </si>
  <si>
    <t>Polycab MV 35kV Cu UL 1072 TRXLPE 100%</t>
  </si>
  <si>
    <t>TRXLPE (100%)</t>
  </si>
  <si>
    <t>None</t>
  </si>
  <si>
    <t>Transmission and distribution of electrical energy, wet and dry areas, conduits, ducts, troughs, trays, direct burial</t>
  </si>
  <si>
    <t>Class B compressed stranded copper conductor, Semiconducting extruded, TRXLPE insulated(100% insulation level), semiconducting extruded, Copper taped and overall PVC sheathed 35 KV MV cable</t>
  </si>
  <si>
    <t>Polycab MV 1T AL XLPE AS-NZS 12.7/22kV</t>
  </si>
  <si>
    <t>Commercial, Industrial and Urban / Residential power supply</t>
  </si>
  <si>
    <t>Stranded Al conductor, XLPE insulation with semi conductive layer in triple extrusion,water blocking tape over &amp; below Cu tape screen(Optiona),Cu tape with Cu wire Screen,PVC Outer sheath with Termite protection 12.7/22kV Triplex MV Power cable</t>
  </si>
  <si>
    <t>Polycab MV AL IEC 60502-2 12/20kV</t>
  </si>
  <si>
    <t>12/20kV</t>
  </si>
  <si>
    <t>GS round wire (Multi-Core), Aluminium Round wire (Single core)</t>
  </si>
  <si>
    <t>Circular compacted AL conductor, Extruded semi-cond screened, XLPE insulated, Extruded Semi-Cond screened, Cu tape screened, Extruded PVC Inner sheathed, Aluminium Round wire armoured ( Single core), GS round wire armoured (Multi-Core) &amp; PVC outer Sheath 20 kV MV cable</t>
  </si>
  <si>
    <t>Polycab MV SC Cu XLPE AS-NZS 1.9/3.3kV</t>
  </si>
  <si>
    <t>Stranded Cu conductor, XLPE insulation with semi conductive layer in triple extrusion,water blocking tape over &amp; below Cu tape screen(Optional),Cu tape with Cu wire Screened,Lead sheath(Optional) ,PVC Outer sheath with Termite protection 1.9/3.3 KV(E) SC MV Power cable</t>
  </si>
  <si>
    <t>Polycab MV 1T AL XLPE AS-NZS 12.7/22kV ATR</t>
  </si>
  <si>
    <t>Stranded Al conductor, XLPE insulation with semi conductive layer in triple extrusion,water blocking tape over &amp; below Cu tape screen(Optiona),Cu tape with Cu wire Screen,PVC Inner layer with Termite protection &amp; Overall HDPE sheath 12.7/22kV Triplex MV Power cable</t>
  </si>
  <si>
    <t>Polycab MV IS 7098-II 3C 2XWY/2XFY 6.35/11kV(E)</t>
  </si>
  <si>
    <t>Stranded copper conductor, XLPE insulation with semi conductive layer in triple extrusion, cores laid up,inner sheathed, GI armored &amp; Overall outer sheathed 6.35/11 KV(E) 3C MV Power cable</t>
  </si>
  <si>
    <t>Polycab MV Cu BS 7870-4-10 12.7/22kV</t>
  </si>
  <si>
    <t>Single core Stranded</t>
  </si>
  <si>
    <t>XLPE or EPR</t>
  </si>
  <si>
    <t>Copper wire screened &amp; copper tape</t>
  </si>
  <si>
    <t>Higher dielectric strength, UV/Oil resistant, Better resistance to surge current, Better electrical, mechanical and thermal properties, Low smoke emission</t>
  </si>
  <si>
    <t>Single core Stranded copper conductor, conductor screened, XLPE or EPR insulated, insulation screened, copper wire screened &amp; copper tape, plain water swellable tape, LSZH outer sheath</t>
  </si>
  <si>
    <t>Polycab MV Cu BS 6622 6.35/11kV</t>
  </si>
  <si>
    <t>PVC OR MDPE</t>
  </si>
  <si>
    <t>Power network, under ground application</t>
  </si>
  <si>
    <t>Stranded copper conductor, conductor, screened, XLPE insulated, insulation screened, laid up, pvc inner sheathed, AL or GI wire armoured, PVC OR MDPE outer sheath</t>
  </si>
  <si>
    <t>Polycab MV IS 7098-II 1C 2XWaY/2XFaY 6.6/6.6kV(UE)</t>
  </si>
  <si>
    <t>6.6/6.6kV(UE)</t>
  </si>
  <si>
    <t>Stranded copper conductor, XLPE insulation with semi conductive layer in triple extrusion,inner sheathed, Aluminium armored &amp; Overall outer sheathed MV 6.6/6.6 KV(UE) Power cable</t>
  </si>
  <si>
    <t>Polycab MV 3C AL XLPE AS-NZS 6.35/11kV</t>
  </si>
  <si>
    <t>Stranded Al conductor, XLPE insulation with semi conductive layer in triple extrusion,water blocking tape over &amp; below Cu tape screen(Optional),Cu tape with Cu wire Screen, Laid up with sheath ,Lead sheath(Optional),PVC Outer sheath with Termite protection 6.35/11kV 3C MV Power cable</t>
  </si>
  <si>
    <t>Polycab MV AL BS 7870-4-10 6.35/11kV Triplex</t>
  </si>
  <si>
    <t>Single Core (Triplex formation)</t>
  </si>
  <si>
    <t>Single core Stranded Aluminium conductor, conductor screened, XLPE or EPR insulated, insulation screened, copper wire screened &amp; copper tape, plain water swellable tape, LSZH outer sheath, Triplex formation</t>
  </si>
  <si>
    <t>Polycab MV IS 7098-II 3C A2XWY/A2XFY 3.8/6.6kV(E)</t>
  </si>
  <si>
    <t>Stranded aluminium conductor, XLPE insulation with semi conductive layer in triple extrusion, cores laid up,inner sheathed, GI armored &amp; Overall outer sheathed 3.8/6.6 KV(E) 3C MV Power cable</t>
  </si>
  <si>
    <t>Polycab MV 3C AL XLPE ATR AS-NZS 6.35/11kV</t>
  </si>
  <si>
    <t>Stranded Al conductor, XLPE insulation with semi conductive layer in triple extrusion,water blocking tape over &amp; below Cu tape screen(Optional),Cu tape with Cu wire Screen cores laid up with sheath,PVC Inner layer with Termite protection &amp; Overall HDPE sheath 6.35/11kV 3C MV Power cable</t>
  </si>
  <si>
    <t>Polycab MV AL BS 7835 6.35/11(12)kV</t>
  </si>
  <si>
    <t>Stranded aluminium conductor, conductor, screened, XLPE insulated, insulation screened, laid up, LSZH inner sheathed, AL or GI wire armoured, LSZH outer sheath</t>
  </si>
  <si>
    <t>Polycab MV 35kV AL UL 1072 EPR 100%</t>
  </si>
  <si>
    <t>Aluminium Alloy</t>
  </si>
  <si>
    <t>Transmission and distribution of electrical energy</t>
  </si>
  <si>
    <t>Class B compact stranded 8000 series aluminium alloy conductor, Semiconducting extruded, Crosslinked EPR insulated (100% insulation level), semiconducting extruded, Copper taped and overall PVC sheathed 35 KV MV cable</t>
  </si>
  <si>
    <t>Polycab MV 35kV AL UL 1072 TRXLPE 133%</t>
  </si>
  <si>
    <t>Class B compact stranded 8000 series aluminium alloy conductor, Semiconducting extruded, TRXLPE insulated (133% insulation level), semiconducting extruded, Copper taped and overall PVC sheathed 35 KV MV cable</t>
  </si>
  <si>
    <t>Polycab MV IS 7098-II 3C 2XWY/2XFY 19/33kV(E)</t>
  </si>
  <si>
    <t>Power distribution for external and direct burial applications</t>
  </si>
  <si>
    <t>Stranded copper conductor, XLPE insulation with semi conductive layer in triple extrusion, cores laid up,inner sheathed, GI armored &amp; Overall outer sheathed 19/33 KV(E) 3C MV Power cable</t>
  </si>
  <si>
    <t>Polycab MV IS 7098-II 3C A2XWY/A2XFY 19/33kV(E)</t>
  </si>
  <si>
    <t>Stranded aluminium conductor, XLPE insulation with semi conductive layer in triple extrusion, cores laid up,inner sheathed, GI armored &amp; Overall outer sheathed 19/33 KV(E) 3C MV Power cable</t>
  </si>
  <si>
    <t>Polycab MV SC Cu EPR ICEA/NEMA 15kV</t>
  </si>
  <si>
    <t>Power supply to wide networks - conduits, ducts, troughs, trays, direct burial</t>
  </si>
  <si>
    <t>Stranded Cu conductor, EPR insulation with semi conductive layer in triple extrusion, Cu tape screen,PVC Outer sheath 15kV MV Power cable</t>
  </si>
  <si>
    <t>Polycab MV SC Cu EPR ICEA/NEMA 8kV</t>
  </si>
  <si>
    <t>Stranded Cu conductor, EPR insulation with semi conductive layer in triple extrusion, Cu tape screen,PVC Outer sheath 8kV MV Power cable</t>
  </si>
  <si>
    <t>Polycab MV SC AL EPR ICEA/NEMA 15kV</t>
  </si>
  <si>
    <t>Stranded Al conductor, EPR insulation with semi conductive layer in triple extrusion, Cu tape screen,PVC Outer sheath 15kV MV Power cable</t>
  </si>
  <si>
    <t>Polycab MV AL BS 7835 12.7/22(24)kV</t>
  </si>
  <si>
    <t>12.7/22(24)kV</t>
  </si>
  <si>
    <t>AL or GI Wire Armoured</t>
  </si>
  <si>
    <t>LSZH Outer Sheath</t>
  </si>
  <si>
    <t>Polycab MV IS 7098-II 1CA2XWaY/A2XFaY 12.7/22kV(E)</t>
  </si>
  <si>
    <t>Stranded aluminium conductor, XLPE insulation with semi conductive layer in triple extrusion,inner sheathed, Aluminium armored &amp; Overall outer sheathed MV 12.7/22 KV(E) Power cable</t>
  </si>
  <si>
    <t>Polycab MV AL BS 7870-4-10 19/33kV Triplex</t>
  </si>
  <si>
    <t>Copper Wire &amp; Copper Tape Screen</t>
  </si>
  <si>
    <t>Polycab MV Cu BS 7870-4-20 6.35/11kV</t>
  </si>
  <si>
    <t>Copper Wire &amp; Tape Screen</t>
  </si>
  <si>
    <t>MDPE</t>
  </si>
  <si>
    <t>Circular compacted Cu conductor, Semi-conductor screened, XLPE Insulated, Semi-conducting screened, Semi-con Water swellable tape inner covering, copper wire &amp; Tape screened, Water swellable tape &amp; Extruded MDPE sheathed 11 kV MV cable</t>
  </si>
  <si>
    <t>Polycab MV IS 7098-II 1C 2XWaY/2XFaY 3.8/6.6kV(E)</t>
  </si>
  <si>
    <t>Stranded copper conductor, XLPE insulation with semi conductive layer in triple extrusion,inner sheathed, Aluminium armored &amp; Overall outer sheathed MV 3.8/6.6 KV(E) Power cable</t>
  </si>
  <si>
    <t>Copper Tape Screen, AL/GS Wire Armoured</t>
  </si>
  <si>
    <t>PVC Outer Sheath</t>
  </si>
  <si>
    <t>Circular compacted AL conductor, Extruded semi-cond screened, XLPE insulated, Extruded Semi-Cond screened, Cu tape screened, Extruded PVC Inner sheathed, Aluminium Round wire armoured (Single core), GS round wire armoured (Multi-Core) &amp; PVC outer Sheath 6 kV MV cable</t>
  </si>
  <si>
    <t>Polycab MV 3C AL EPR ICEA/NEMA 25kV</t>
  </si>
  <si>
    <t>Stranded Al conductor, EPR insulation with semi conductive layer in triple extrusion, Cu tape screen,cores laid up,PVC Outer sheath 25kV 3C MV Power cable</t>
  </si>
  <si>
    <t>Polycab MV 1T AL XLPE AS-NZS 19/33kV ATR</t>
  </si>
  <si>
    <t>Copper Tape with Copper Wire Screen</t>
  </si>
  <si>
    <t>HDPE with Termite Protection</t>
  </si>
  <si>
    <t>Stranded Al conductor, XLPE insulation with semi conductive layer in triple extrusion,water blocking tape over &amp; below Cu tape screen(Optional),Cu tape with Cu wire Screen,PVC Inner layer with Termite protection &amp; Overall HDPE sheath 19/33kV Triplex MV Power cable</t>
  </si>
  <si>
    <t>Polycab MV IS 7098-II 1C A2XWaY/A2XFaY 6.6/6.6kV(UE)</t>
  </si>
  <si>
    <t>6.6/6.6 kV (UE)</t>
  </si>
  <si>
    <t>Stranded aluminium conductor</t>
  </si>
  <si>
    <t>Single core</t>
  </si>
  <si>
    <t>XLPE (XLPE insulation with semiconductive layer)</t>
  </si>
  <si>
    <t>Aluminium armoured (Aluminium armored)</t>
  </si>
  <si>
    <t>High life; Flame retardant; UV resistant; Higher dielectric strength; Better mechanical &amp; thermal properties</t>
  </si>
  <si>
    <t>Power distribution — external and direct burial in power network systems</t>
  </si>
  <si>
    <t>Stranded aluminium conductor, XLPE insulation with semi conductive layer in triple extrusion, inner sheathed, Aluminium armored &amp; Overall outer sheathed MV 6.6/6.6 KV(UE) Power cable. POLYCAB MV 6.6/6.6 KV(UE) XLPE insulated with aluminium conductor single core cable is suitable to use for power distribution for external and direct burial applications in power network system. (Copied from product detail page.)</t>
  </si>
  <si>
    <t>Polycab MV 1T AL XLPE AS‑NZS 6.35/11kV</t>
  </si>
  <si>
    <t>6.35/11 kV</t>
  </si>
  <si>
    <t>Triplex (3)</t>
  </si>
  <si>
    <t>Cu tape with Cu wire screen / optional water-blocking and screen</t>
  </si>
  <si>
    <t>PVC outer sheath with termite protection</t>
  </si>
  <si>
    <t>Long life; UV resistant; Resistant to chemical exposure; Resistant to water (AD7/AD8 with HDPE); Resistant to weather exposure</t>
  </si>
  <si>
    <t>Power supply to wide networks — Commercial, Industrial, Urban/Residential</t>
  </si>
  <si>
    <t>Stranded Al conductor, XLPE insulation with semi conductive layer in triple extrusion, water blocking tape over &amp; below Cu tape screen (Optional), Cu tape with Cu wire Screen, PVC Outer sheath with Termite protection 6.35/11kV Triplex MV Power cable. POLYCAB MV 6.35/11 KV XLPE insulated with Aluminium conductor Triplex cable is suitable to use for power supply to wide networks i.e. Commercial, Industrial and Urban / Residential. (Copied from product detail page.)</t>
  </si>
  <si>
    <t>Polycab BS 5467 SC 1.9/3.3kV AC</t>
  </si>
  <si>
    <t>1.9/3.3 kV AC</t>
  </si>
  <si>
    <t>Stranded copper conductor</t>
  </si>
  <si>
    <t>XLPE / EPR</t>
  </si>
  <si>
    <t>Aluminium round wire armoured</t>
  </si>
  <si>
    <t>PVC FRLS outer sheath</t>
  </si>
  <si>
    <t>Low flame propagation; Low smoke emission; High life; Resistant to weather exposure</t>
  </si>
  <si>
    <t>Power network, underground in free-draining soil, outdoor &amp; indoor, cable ducting</t>
  </si>
  <si>
    <t>Stranded copper conductor, XLPE/EPR Insulated, Extruded Polymeric Bedding, Aluminium round wire armoured, PVC FRLS Outer Sheathed 1.9/3.3 kV MV cable. POLYCAB BS 5467 SC stranded copper conductor thermosetting material insulated single core armoured cable fulfils the requirement as per BS EN 5467. These cables suitable for power network, underground in free-draining soil, outdoor and indoor applications, and cable ducting. (Copied from product detail page.)</t>
  </si>
  <si>
    <t>Polycab MV 35kV AL UL 1072 EPR 133%</t>
  </si>
  <si>
    <t>35 kV</t>
  </si>
  <si>
    <t>Class B compact stranded 8000 series aluminium alloy conductor</t>
  </si>
  <si>
    <t>Compact stranded</t>
  </si>
  <si>
    <t>Single core (typical)</t>
  </si>
  <si>
    <t>Copper tape screen (copper taped)</t>
  </si>
  <si>
    <t>Overall PVC sheathed</t>
  </si>
  <si>
    <t>UL 1072; ICEA S‑97‑682; ICEA S‑93‑639</t>
  </si>
  <si>
    <t>High life; Sunlight resistance; Moisture resistant; Corona resistant; Flame retardant</t>
  </si>
  <si>
    <t>Transmission &amp; distribution of electrical energy — wet/dry areas, conduits, ducts, troughs, trays, direct burial</t>
  </si>
  <si>
    <t>Class B compact stranded 8000 series aluminium alloy conductor, Semiconducting extruded, Crosslinked EPR insulated (133% insulation level), semiconducting extruded, Copper taped and overall PVC sheathed 35 KV MV cable. POLYCAB 35KV Class B Compact Stranded 8000 series Aluminium Alloy Conductor EPR Insulated cable is suitable to use for transmission and distribution of electrical energy. This cable may be used in wet and dry areas, conduits, ducts, troughs, trays, direct burial for power supply to wide network. (Copied from product detail page.)</t>
  </si>
  <si>
    <t>Polycab MV 1T AL XLPE AS‑NZS 19/33kV</t>
  </si>
  <si>
    <t>19/33 kV</t>
  </si>
  <si>
    <t>Cu tape with Cu wire screen / optional water-blocking</t>
  </si>
  <si>
    <t>Stranded Al conductor, XLPE insulation with semi conductive layer in triple extrusion, water blocking tape over &amp; below Cu tape screen (Optional), Cu tape with Cu wire Screen, PVC Outer sheath with Termite protection 19/33kV Triplex MV Power cable. POLYCAB MV 19/33 KV XLPE insulated with Aluminium conductor Triplex cable is suitable to use for power supply to wide networks i.e. Commercial, Industrial and Urban / Residential. (Copied from product detail page.)</t>
  </si>
  <si>
    <t>Polycab MV SC AL XLPE AS‑NZS 6.35/11kV</t>
  </si>
  <si>
    <t>(page fetch failed)</t>
  </si>
  <si>
    <t>Failed to fetch product page (server/time‑out). Product link: https://polycab.com/polycab-mv-sc-al-xlpe-as-nzs-63511kv/pt-13205/p-55133 — please allow retry and I will fill missing fields and copy the description.</t>
  </si>
  <si>
    <t>Polycab MV SC AL XLPE ATR AS‑NZS 12.7/22kV</t>
  </si>
  <si>
    <t>12.7/22 kV</t>
  </si>
  <si>
    <t>XLPE (triple extrusion semiconducting)</t>
  </si>
  <si>
    <t>Cu tape with Cu wire Screen (Cu tape screen)</t>
  </si>
  <si>
    <t>PVC inner layer + Overall HDPE sheath</t>
  </si>
  <si>
    <t>Long life; UV resistant; Resistant to chemical exposure; Resistant to water (AD7/AD8 with HDPE); Resistant to weather exposure; Termite resistant</t>
  </si>
  <si>
    <t>Stranded Al conductor, XLPE insulation with semi conductive layer in triple extrusion, water blocking tape over &amp; below Cu tape screen (Optional), Cu tape with Cu wire Screen, PVC Inner layer with Termite protection &amp; Overall HDPE sheath 12.7/22KV SC MV Power cable. POLYCAB MV 12.7/22 KV XLPE insulated with Aluminium conductor single core cable is suitable to use for power supply to wide networks i.e. Commercial, Industrial and Urban / Residential. (Copied from product detail page.)</t>
  </si>
  <si>
    <t>Polycab MV 15kV Cu UL 1072 EPR 100%</t>
  </si>
  <si>
    <t>15 kV</t>
  </si>
  <si>
    <t>Class B compressed stranded copper conductor</t>
  </si>
  <si>
    <t>Compressed stranded</t>
  </si>
  <si>
    <t>Crosslinked EPR (100% insulation level)</t>
  </si>
  <si>
    <t>Transmission &amp; distribution — wet/dry areas, conduits, ducts, troughs, trays, direct burial</t>
  </si>
  <si>
    <t>Class B compressed stranded copper conductor, Semiconducting extruded, Crosslinked EPR insulated (100% insulation level), semiconducting extruded, Copper taped and overall PVC sheathed 15 KV MV cable. POLYCAB 15KV Annealed Bare Copper Conductor EPR Insulated cable is suitable to use for transmission and distribution of electrical energy. This cable may be used in wet and dry areas, conduits, ducts, troughs, trays, direct burial for power supply to wide network. (Copied from product detail page.)</t>
  </si>
  <si>
    <t>Polycab MV 1T AL XLPE AS‑NZS 6.35/11kV ATR</t>
  </si>
  <si>
    <t>Cu tape with Cu wire Screen; PVC inner layer; Overall HDPE sheath</t>
  </si>
  <si>
    <t>Overall HDPE sheath</t>
  </si>
  <si>
    <t>Stranded Al conductor, XLPE insulation with semi conductive layer in triple extrusion, water blocking tape over &amp; below Cu tape screen (Optional), Cu tape with Cu wire Screen, PVC Inner layer with Termite protection &amp; Overall HDPE sheath 6.35/11kV Triplex MV Power cable. POLYCAB MV 6.35/11 KV XLPE insulated with Aluminium conductor Triplex cable is suitable to use for power supply to wide networks i.e. Commercial, Industrial and Urban / Residential. (Copied from product detail page.)</t>
  </si>
  <si>
    <t>Polycab MV Cu BS 7835 8.7/15(15)kV</t>
  </si>
  <si>
    <t>8.7/15(15) kV</t>
  </si>
  <si>
    <t>Single &amp; multi core</t>
  </si>
  <si>
    <t>LSZH inner sheathed; LSZH outer sheath</t>
  </si>
  <si>
    <t>Higher dielectric strength; UV/Oil resistant; Better resistance to surge current; Better electrical, mechanical &amp; thermal properties; Low smoke emission</t>
  </si>
  <si>
    <t>Power networks, underground, cable ducting (designed for low smoke &amp; halogen evolution)</t>
  </si>
  <si>
    <t>Stranded copper conductor, conductor screened, XLPE insulated, insulation screened, laid up, LSZH inner sheathed, AL or GI wire armoured, LSZH outer sheath. 8.7/15(15) kV XLPE insulated with copper conductor single &amp; multi core cable is designed for low smoke &amp; low halogen evolution and this suitable to use for power networks, underground and in cable ducting. (Copied from product detail page.)</t>
  </si>
  <si>
    <t>Polycab MV SC AL EPR ICEA/NEMA 8kV</t>
  </si>
  <si>
    <t>8 kV</t>
  </si>
  <si>
    <t>PVC outer sheath</t>
  </si>
  <si>
    <t>ANSI/ICEA S‑93‑639</t>
  </si>
  <si>
    <t>Flame retardant; High life; Sunlight resistant; Oil, acid &amp; alkalis resistant; Corona resistant; Treeing resistant</t>
  </si>
  <si>
    <t>Conduits, ducts, troughs, trays, direct burial in wet &amp; dry conditions for power supply to wide networks</t>
  </si>
  <si>
    <t>Stranded Al conductor, EPR insulation with semi conductive layer in triple extrusion, Cu tape screen, PVC Outer sheath 8kV MV Power cable. POLYCAB MV 8KV EPR insulated with Aluminium conductor single core cable is suitable to use in conduits, ducts, troughs, trays, direct burial in wet and dry conditions for power supply to wide networks. (Copied from product detail page.)</t>
  </si>
  <si>
    <t>Polycab BS 5467 MC 1.9/3.3kV AC</t>
  </si>
  <si>
    <t>Multi-core (armoured)</t>
  </si>
  <si>
    <t>Fixed installation in industrial areas, buildings, power network underground, outdoor &amp; indoor where mechanical protection is required</t>
  </si>
  <si>
    <t>Stranded copper conductor, XLPE/EPR Insulated, Extruded Polymeric Bedding, GS round wire armoured, PVC FRLS Outer Sheath 1.9/3.3 kV MV cable. POLYCAB BS 5467 MC stranded copper conductor with thermosetting insulation Multi core armoured cable fulfils the requirement as per BS EN 5467. These cables are suitable for fixed installation in industrial area, buildings, Power network in underground, outdoor, indoor and similar application where mechanical protection is required. (Copied from product detail page.)</t>
  </si>
  <si>
    <t>Polycab MV Cu BS 7835 3.8/6.6(7.2)kV</t>
  </si>
  <si>
    <t>3.8/6.6(7.2) kV</t>
  </si>
  <si>
    <t>Power networks, underground, cable ducting (low smoke &amp; halogen)</t>
  </si>
  <si>
    <t>Stranded copper conductor, conductor screened, XLPE insulated, insulation screened, laid up, LSZH inner sheathed, AL or GI wire armoured, LSZH outer sheath. 3.8/6.6(7.2) kV XLPE insulated with copper conductor single &amp; multi core cable is designed for low smoke &amp; low halogen evolution and this suitable to use for power networks, underground and in cable ducting. (Copied from product detail page.)</t>
  </si>
  <si>
    <t>Polycab MV IS 7098-II 1C A2XWaY/A2XFaY 6.35/11kV(E)</t>
  </si>
  <si>
    <t>6.35/11 kV (E)</t>
  </si>
  <si>
    <t>Aluminium armoured</t>
  </si>
  <si>
    <t>Stranded aluminium conductor, XLPE insulation with semi conductive layer in triple extrusion, inner sheathed, Aluminium armored &amp; Overall outer sheathed MV 6.35/11 KV(E) Power cable. POLYCAB MV 6.35/11 KV(E) XLPE insulated with aluminium conductor single core cable is suitable to use for power distribution for external and direct burial applications in power network system. (Copied from product detail page.)</t>
  </si>
  <si>
    <t>Polycab MV AL IEC 60502‑2 18/30kV</t>
  </si>
  <si>
    <t>18/30 kV</t>
  </si>
  <si>
    <t>Circular compacted aluminium conductor</t>
  </si>
  <si>
    <t>Compacted (circular compacted)</t>
  </si>
  <si>
    <t>Aluminium round wire armoured (single core); GS round wire armoured (multi-core)</t>
  </si>
  <si>
    <t>Extruded PVC inner sheathed; PVC outer sheath</t>
  </si>
  <si>
    <t>IEC 60502‑2</t>
  </si>
  <si>
    <t>High life; Sunlight resistance; Oil resistant; Flame retardant</t>
  </si>
  <si>
    <t>Power network — underground, cable ducting, direct burial</t>
  </si>
  <si>
    <t>Circular compacted AL conductor, Extruded semi-cond screened, XLPE insulated, Extruded Semi-Cond screened, Cu tape screened, Extruded PVC Inner sheathed, Aluminium Round wire armoured ( Single core), GS round wire armoured (Multi-Core) &amp; PVC outer Sheath 30 kV MV cable. Polycab MV 18/30 kV XLPE insulated with aluminium conductor single and multicore cable is suitable to use for power network, underground, in cable ducting and also suitable for direct burial. (Copied from product detail page.)</t>
  </si>
  <si>
    <t>Polycab MV AL BS 7870-4-10 12.7/22kV Triplex</t>
  </si>
  <si>
    <t>Copper Wire Screen &amp; Copper Tape</t>
  </si>
  <si>
    <t>Higher dielectric strength, UV/Oil resistant, Better resistance to surge current, Low smoke emission</t>
  </si>
  <si>
    <t>Polycab MV AL BS 6622 8.7/15kV</t>
  </si>
  <si>
    <t>AL or GI Wire</t>
  </si>
  <si>
    <t>UV/Oil resistant, Flame retardant, Oil resistant, High life</t>
  </si>
  <si>
    <t>Stranded aluminium conductor, conductor screened, XLPE insulated, insulation screened, laid up, pvc inner sheathed, AL or GI wire armoured, PVC OR MDPE outer sheath</t>
  </si>
  <si>
    <t>Polycab MV 1T Cu XLPE AS-NZS 12.7/22kV</t>
  </si>
  <si>
    <t>Copper Tape &amp; Wire Screen</t>
  </si>
  <si>
    <t>PVC with Termite Protection</t>
  </si>
  <si>
    <t>Stranded Cu conductor, XLPE insulation with semi conductive layer in triple extrusion, water blocking tape over &amp; below Cu tape screen, Cu tape with Cu wire Screen, PVC Outer sheath with Termite protection</t>
  </si>
  <si>
    <t>Polycab MV Cu BS 7870-4-10 19/33kV</t>
  </si>
  <si>
    <t>Polycab MV IS 7098-II 1C A2XWaY/A2XFaY 3.3/3.3kV(UE)</t>
  </si>
  <si>
    <t>Stranded aluminium conductor, XLPE insulation, Aluminium armored &amp; Overall outer sheathed MV 3.3/3.3KV(UE) Power cable</t>
  </si>
  <si>
    <t>Polycab MV 1T Cu XLPE AS-NZS 3.8/6.6kV</t>
  </si>
  <si>
    <t>Polycab MV 3C Cu EPR ICEA/NEMA 35kV</t>
  </si>
  <si>
    <t>Stranded Cu conductor, EPR insulation with semi conductive layer in triple extrusion, Cu tape screen, cores laid up, PVC Outer sheath 35kV 3C MV Power cable</t>
  </si>
  <si>
    <t>Polycab MV IS 7098-II 3C A2XWY/A2XFY 6.6/6.6kV(UE)</t>
  </si>
  <si>
    <t>Polycab MV 35kV Cu UL 1072 EPR 100%</t>
  </si>
  <si>
    <t>Class B Compressed Stranded</t>
  </si>
  <si>
    <t>Transmission and distribution of electrical energy, conduits, ducts, troughs, trays, direct burial</t>
  </si>
  <si>
    <t>Class B compressed stranded copper conductor, Semiconducting extruded, Crosslinked EPR insulated(100% insulation level), semiconducting extruded, Copper taped and overall PVC sheathed</t>
  </si>
  <si>
    <t>Polycab MV 3C Cu EPR ICEA/NEMA 15kV</t>
  </si>
  <si>
    <t>Stranded Cu conductor, EPR insulation with semi conductive layer in triple extrusion, Cu tape screen, cores laid up, PVC Outer sheath</t>
  </si>
  <si>
    <t>Polycab MV IS 7098-II 1C A2XWaY/A2XFaY 11/11kV(UE)</t>
  </si>
  <si>
    <t>Stranded aluminium conductor, XLPE insulation with semi conductive layer in triple extrusion, inner sheathed, Aluminium armored &amp; Overall outer sheathed</t>
  </si>
  <si>
    <t>Polycab MV Cu IEC 60502-2-12/20kV</t>
  </si>
  <si>
    <t>Aluminium Round Wire (Single), GS Round Wire (Multi)</t>
  </si>
  <si>
    <t>Circular compacted Cu conductor, Extruded semi-cond screened, XLPE insulated, Extruded Semi-Cond screened, Cu tape screened, Extruded PVC Inner sheathed</t>
  </si>
  <si>
    <t>Polycab MV 3C AL XLPE ATR AS-NZS 3.8/6.6kV</t>
  </si>
  <si>
    <t>HDPE with PVC Inner Layer &amp; Termite Protection</t>
  </si>
  <si>
    <t>Stranded Al conductor, XLPE insulation with semi conductive layer in triple extrusion, water blocking tape over &amp; below Cu tape screen, Cu tape with Cu wire Screen cores laid up with sheath, PVC Inner layer with Termite protection &amp; Overall HDPE sheath</t>
  </si>
  <si>
    <t>Polycab MV Cu BS 6622 3.8/6.6kV</t>
  </si>
  <si>
    <t>Polycab MV CU BS 6622 19/33kV</t>
  </si>
  <si>
    <t>Polycab MV Cu BS 7835 12.7/22(24)kV</t>
  </si>
  <si>
    <t>Single &amp; Multi</t>
  </si>
  <si>
    <t>Stranded copper conductor, conductor screened, XLPE insulated, insulation screened, laid up, LSZH inner sheathed, AL or GI wire armoured, LSZH outer sheath. Designed for low smoke &amp; low halogen evolution suitable for power networks, underground and in cable ducting.</t>
  </si>
  <si>
    <t>Polycab MV 15kV AL UL 1072 EPR 133%</t>
  </si>
  <si>
    <t>Single</t>
  </si>
  <si>
    <t>Copper Taped</t>
  </si>
  <si>
    <t>Class B compact stranded 8000 series aluminium alloy conductor, semiconducting extruded, crosslinked EPR insulated (133% insulation level), semiconducting extruded, copper taped and overall PVC sheathed cable for transmission and distribution.</t>
  </si>
  <si>
    <t>Polycab MV SC AL XLPE ATR AS-NZS 19/33kV</t>
  </si>
  <si>
    <t>PVC Inner layer with Termite protection &amp; Overall HDPE</t>
  </si>
  <si>
    <t>Long life, UV resistant, Resistant to chemical exposure, Resistant to water (AD7/AD8 with HDPE), Resistant to weather exposure, Termite resistant</t>
  </si>
  <si>
    <t>Stranded Al conductor, XLPE insulation with semi conductive layer in triple extrusion, water blocking tape over &amp; below Cu tape screen (optional), Cu tape with Cu wire Screen, PVC Inner layer with Termite protection &amp; Overall HDPE sheath for power supply to wide networks.</t>
  </si>
  <si>
    <t>Polycab MV AL BS 7870-4-10 6.35/11kV</t>
  </si>
  <si>
    <t>Power networks, underground direct buried, cable ducting</t>
  </si>
  <si>
    <t>Single core stranded aluminium conductor, conductor screened, XLPE or EPR insulated, insulation screened, copper wire screened &amp; copper tape, plain water swellable tape, LSZH outer sheath designed for power networks.</t>
  </si>
  <si>
    <t>Polycab MV 1T AL XLPE AS-NZS 3.8/6.6kV ATR</t>
  </si>
  <si>
    <t>Triplex (1T)</t>
  </si>
  <si>
    <t>Stranded Al conductor, XLPE insulation with semi conductive layer in triple extrusion, water blocking tape over &amp; below Cu tape screen (optional), Cu tape with Cu wire Screen, PVC Inner layer with Termite protection &amp; Overall HDPE sheath for triplex applications.</t>
  </si>
  <si>
    <t>Polycab MV AL BS 6622 6.35/11kV</t>
  </si>
  <si>
    <t>Power network, underground applications</t>
  </si>
  <si>
    <t>Stranded aluminium conductor, conductor screened, XLPE insulated, insulation screened, laid up, pvc inner sheathed, AL or GI wire armoured, PVC OR MDPE outer sheath designed for power network, underground applications.</t>
  </si>
  <si>
    <t>Polycab MV 3C Cu XLPE AS-NZS 6.35/11kV</t>
  </si>
  <si>
    <t>Lead sheath (Optional), PVC with Termite protection</t>
  </si>
  <si>
    <t>Long life, UV resistant, Resistant to chemical exposure, Resistant to water (AD7/AD8 with HDPE), Resistant to weather exposure</t>
  </si>
  <si>
    <t>Stranded Cu conductor, XLPE insulation with semi conductive layer in triple extrusion, water blocking tape over &amp; below Cu tape screen (optional), Cu tape with Cu wire Screen, cores laid up with Sheath, Lead sheath (optional), PVC Outer sheath with Termite protection.</t>
  </si>
  <si>
    <t>Polycab MV 1T Cu XLPE AS-NZS 19/33kV</t>
  </si>
  <si>
    <t>Stranded Cu conductor, XLPE insulation with semi conductive layer in triple extrusion, water blocking tape over &amp; below Cu tape screen (optional), Cu tape with Cu wire Screen, PVC Outer sheath with Termite protection for triplex applications.</t>
  </si>
  <si>
    <t>Polycab MV IS 7098-II 1C 2XWaY/2XFaY 3.3/3.3kV(UE)</t>
  </si>
  <si>
    <t>Power distribution, external applications, direct burial, power network systems</t>
  </si>
  <si>
    <t>Stranded copper conductor, XLPE insulation, aluminium armored &amp; overall outer sheathed cable suitable for power distribution for external and direct burial applications in power network system.</t>
  </si>
  <si>
    <t>Polycab MV AL BS 7835 3.8/6.6(7.2)kV</t>
  </si>
  <si>
    <t>3.8/6.6(7.2)kV</t>
  </si>
  <si>
    <t>Stranded aluminium conductor, conductor screened, XLPE insulated, insulation screened, laid up, LSZH inner sheathed, AL or GI wire armoured, LSZH outer sheath designed for low smoke &amp; low halogen evolution suitable for power networks, underground and in cable ducting.</t>
  </si>
  <si>
    <t>Polycab MV SC Cu XLPE AS-NZS 12.7/22kV</t>
  </si>
  <si>
    <t>Stranded Cu conductor, XLPE insulation with semi conductive layer in triple extrusion, water blocking tape over &amp; below Cu tape screen (optional), Cu tape with Cu wire Screen, Lead sheath (optional), PVC Outer sheath with Termite protection for single core applications.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</si>
</sst>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3">
    <xf numFmtId="0" fontId="0" fillId="0" borderId="0" xfId="0"/>
    <xf numFmtId="0" fontId="0" fillId="0" borderId="0" xfId="0" applyAlignment="1">
      <alignment wrapText="1"/>
    </xf>
    <xf numFmtId="0" fontId="18" fillId="0" borderId="0" xfId="42"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F89184-0014-46D3-A005-8FD055BF944D}" name="Table1" displayName="Table1" ref="A1:N162" totalsRowShown="0" dataDxfId="4">
  <autoFilter ref="A1:N162" xr:uid="{59F89184-0014-46D3-A005-8FD055BF944D}"/>
  <tableColumns count="14">
    <tableColumn id="1" xr3:uid="{D38B4A1E-C6FB-45FB-A694-483F58A03FCE}" name="ID">
      <calculatedColumnFormula>ROW()-1</calculatedColumnFormula>
    </tableColumn>
    <tableColumn id="2" xr3:uid="{3A17E836-7CEB-4C8F-8673-A78728FD48A3}" name="Product Name" dataDxfId="3"/>
    <tableColumn id="3" xr3:uid="{CC72E1B1-CFD2-4250-9B89-1AB6A18FBB1E}" name="Product Category"/>
    <tableColumn id="4" xr3:uid="{09E549CE-F914-4416-8DE1-ACBAC9BE0F30}" name="Voltage Rating"/>
    <tableColumn id="5" xr3:uid="{2D2A54EE-8F48-4D8E-B05B-BB4C49ED3327}" name="Conductor Material"/>
    <tableColumn id="6" xr3:uid="{252C9796-73F4-4508-8F52-DC6B7CB09B3C}" name="Conductor Type"/>
    <tableColumn id="7" xr3:uid="{220EFAF8-7C57-4753-B52C-30BBF0792906}" name="Number of Cores"/>
    <tableColumn id="8" xr3:uid="{514B73D8-4A36-4221-9015-673620FE3689}" name="Insulation Material"/>
    <tableColumn id="9" xr3:uid="{F4F55EF6-CAEF-470F-9890-F0670C2492F2}" name="Armoring Type"/>
    <tableColumn id="10" xr3:uid="{84362E52-0378-40EF-851E-76745DC4A982}" name="Outer Sheath"/>
    <tableColumn id="11" xr3:uid="{ABF5BEBD-3661-4FB1-B7E5-36EDF023B98D}" name="Standards"/>
    <tableColumn id="12" xr3:uid="{474CBDDC-1DC3-4998-B8AE-5D845A49FC07}" name="Key Features" dataDxfId="2"/>
    <tableColumn id="13" xr3:uid="{465F1366-9852-48B1-9571-B6D447FDE033}" name="Applications" dataDxfId="1"/>
    <tableColumn id="14" xr3:uid="{9FB1E6ED-A04A-4AAA-92D0-029937CBCE9F}" name="Descrip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polycab.com/polycab-mv-sc-al-xlpe-as-nzs-63511kv/pt-13205/p-5513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8D38A-E5DA-4321-A67C-C06A21FD411E}">
  <dimension ref="A1:N162"/>
  <sheetViews>
    <sheetView tabSelected="1" topLeftCell="A158" workbookViewId="0">
      <selection activeCell="A106" sqref="A106:A162"/>
    </sheetView>
  </sheetViews>
  <sheetFormatPr defaultRowHeight="15"/>
  <cols>
    <col min="2" max="2" width="36.5703125" bestFit="1" customWidth="1"/>
    <col min="3" max="3" width="18.5703125" bestFit="1" customWidth="1"/>
    <col min="4" max="4" width="16.140625" bestFit="1" customWidth="1"/>
    <col min="5" max="6" width="36.5703125" bestFit="1" customWidth="1"/>
    <col min="7" max="7" width="27.42578125" bestFit="1" customWidth="1"/>
    <col min="8" max="10" width="36.5703125" bestFit="1" customWidth="1"/>
    <col min="11" max="11" width="35.140625" bestFit="1" customWidth="1"/>
    <col min="12" max="14" width="36.5703125" bestFit="1"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f>ROW()-1</f>
        <v>1</v>
      </c>
      <c r="B2" t="s">
        <v>14</v>
      </c>
      <c r="C2" t="s">
        <v>15</v>
      </c>
      <c r="D2" t="s">
        <v>16</v>
      </c>
      <c r="E2" t="s">
        <v>17</v>
      </c>
      <c r="F2" t="s">
        <v>18</v>
      </c>
      <c r="G2" t="s">
        <v>19</v>
      </c>
      <c r="H2" t="s">
        <v>20</v>
      </c>
      <c r="I2" t="s">
        <v>21</v>
      </c>
      <c r="J2" t="s">
        <v>22</v>
      </c>
      <c r="K2" t="s">
        <v>23</v>
      </c>
      <c r="L2" t="s">
        <v>24</v>
      </c>
      <c r="M2" t="s">
        <v>25</v>
      </c>
      <c r="N2" t="s">
        <v>26</v>
      </c>
    </row>
    <row r="3" spans="1:14">
      <c r="A3">
        <f t="shared" ref="A3:A66" si="0">ROW()-1</f>
        <v>2</v>
      </c>
      <c r="B3" t="s">
        <v>27</v>
      </c>
      <c r="C3" t="s">
        <v>15</v>
      </c>
      <c r="D3" t="s">
        <v>28</v>
      </c>
      <c r="E3" t="s">
        <v>29</v>
      </c>
      <c r="F3" t="s">
        <v>30</v>
      </c>
      <c r="G3" t="s">
        <v>19</v>
      </c>
      <c r="H3" t="s">
        <v>31</v>
      </c>
      <c r="I3" t="s">
        <v>21</v>
      </c>
      <c r="J3" t="s">
        <v>32</v>
      </c>
      <c r="K3" t="s">
        <v>33</v>
      </c>
      <c r="L3" t="s">
        <v>34</v>
      </c>
      <c r="M3" t="s">
        <v>35</v>
      </c>
      <c r="N3" t="s">
        <v>36</v>
      </c>
    </row>
    <row r="4" spans="1:14">
      <c r="A4">
        <f t="shared" si="0"/>
        <v>3</v>
      </c>
      <c r="B4" t="s">
        <v>37</v>
      </c>
      <c r="C4" t="s">
        <v>15</v>
      </c>
      <c r="D4" t="s">
        <v>38</v>
      </c>
      <c r="E4" t="s">
        <v>29</v>
      </c>
      <c r="F4" t="s">
        <v>39</v>
      </c>
      <c r="G4" t="s">
        <v>40</v>
      </c>
      <c r="H4" t="s">
        <v>41</v>
      </c>
      <c r="I4" t="s">
        <v>42</v>
      </c>
      <c r="J4" t="s">
        <v>43</v>
      </c>
      <c r="K4" t="s">
        <v>44</v>
      </c>
      <c r="L4" t="s">
        <v>45</v>
      </c>
      <c r="M4" t="s">
        <v>46</v>
      </c>
      <c r="N4" t="s">
        <v>47</v>
      </c>
    </row>
    <row r="5" spans="1:14">
      <c r="A5">
        <f t="shared" si="0"/>
        <v>4</v>
      </c>
      <c r="B5" t="s">
        <v>48</v>
      </c>
      <c r="C5" t="s">
        <v>15</v>
      </c>
      <c r="D5" t="s">
        <v>49</v>
      </c>
      <c r="E5" t="s">
        <v>29</v>
      </c>
      <c r="F5" t="s">
        <v>50</v>
      </c>
      <c r="G5" t="s">
        <v>51</v>
      </c>
      <c r="H5" t="s">
        <v>41</v>
      </c>
      <c r="I5" t="s">
        <v>21</v>
      </c>
      <c r="J5" t="s">
        <v>52</v>
      </c>
      <c r="K5" t="s">
        <v>53</v>
      </c>
      <c r="L5" t="s">
        <v>54</v>
      </c>
      <c r="M5" t="s">
        <v>55</v>
      </c>
      <c r="N5" t="s">
        <v>56</v>
      </c>
    </row>
    <row r="6" spans="1:14">
      <c r="A6">
        <f t="shared" si="0"/>
        <v>5</v>
      </c>
      <c r="B6" t="s">
        <v>57</v>
      </c>
      <c r="C6" t="s">
        <v>15</v>
      </c>
      <c r="D6" t="s">
        <v>58</v>
      </c>
      <c r="E6" t="s">
        <v>59</v>
      </c>
      <c r="F6" t="s">
        <v>50</v>
      </c>
      <c r="G6" t="s">
        <v>19</v>
      </c>
      <c r="H6" t="s">
        <v>41</v>
      </c>
      <c r="I6" t="s">
        <v>60</v>
      </c>
      <c r="J6" t="s">
        <v>52</v>
      </c>
      <c r="K6" t="s">
        <v>61</v>
      </c>
      <c r="L6" t="s">
        <v>62</v>
      </c>
      <c r="M6" t="s">
        <v>63</v>
      </c>
      <c r="N6" t="s">
        <v>64</v>
      </c>
    </row>
    <row r="7" spans="1:14">
      <c r="A7">
        <f t="shared" si="0"/>
        <v>6</v>
      </c>
      <c r="B7" t="s">
        <v>65</v>
      </c>
      <c r="C7" t="s">
        <v>15</v>
      </c>
      <c r="D7" t="s">
        <v>66</v>
      </c>
      <c r="E7" t="s">
        <v>59</v>
      </c>
      <c r="F7" t="s">
        <v>30</v>
      </c>
      <c r="G7" t="s">
        <v>19</v>
      </c>
      <c r="H7" t="s">
        <v>41</v>
      </c>
      <c r="I7" t="s">
        <v>67</v>
      </c>
      <c r="J7" t="s">
        <v>32</v>
      </c>
      <c r="K7" t="s">
        <v>68</v>
      </c>
      <c r="L7" t="s">
        <v>69</v>
      </c>
      <c r="M7" t="s">
        <v>70</v>
      </c>
      <c r="N7" t="s">
        <v>71</v>
      </c>
    </row>
    <row r="8" spans="1:14">
      <c r="A8">
        <f t="shared" si="0"/>
        <v>7</v>
      </c>
      <c r="B8" t="s">
        <v>72</v>
      </c>
      <c r="C8" t="s">
        <v>15</v>
      </c>
      <c r="D8" t="s">
        <v>73</v>
      </c>
      <c r="E8" t="s">
        <v>59</v>
      </c>
      <c r="F8" t="s">
        <v>50</v>
      </c>
      <c r="G8" t="s">
        <v>19</v>
      </c>
      <c r="H8" t="s">
        <v>41</v>
      </c>
      <c r="I8" t="s">
        <v>60</v>
      </c>
      <c r="J8" t="s">
        <v>52</v>
      </c>
      <c r="K8" t="s">
        <v>74</v>
      </c>
      <c r="L8" t="s">
        <v>75</v>
      </c>
      <c r="M8" t="s">
        <v>76</v>
      </c>
      <c r="N8" t="s">
        <v>77</v>
      </c>
    </row>
    <row r="9" spans="1:14">
      <c r="A9">
        <f t="shared" si="0"/>
        <v>8</v>
      </c>
      <c r="B9" t="s">
        <v>78</v>
      </c>
      <c r="C9" t="s">
        <v>15</v>
      </c>
      <c r="D9" t="s">
        <v>79</v>
      </c>
      <c r="E9" t="s">
        <v>59</v>
      </c>
      <c r="F9" t="s">
        <v>30</v>
      </c>
      <c r="G9" t="s">
        <v>40</v>
      </c>
      <c r="H9" t="s">
        <v>41</v>
      </c>
      <c r="I9" t="s">
        <v>80</v>
      </c>
      <c r="J9" t="s">
        <v>32</v>
      </c>
      <c r="K9" t="s">
        <v>81</v>
      </c>
      <c r="L9" t="s">
        <v>82</v>
      </c>
      <c r="M9" t="s">
        <v>83</v>
      </c>
      <c r="N9" t="s">
        <v>84</v>
      </c>
    </row>
    <row r="10" spans="1:14">
      <c r="A10">
        <f t="shared" si="0"/>
        <v>9</v>
      </c>
      <c r="B10" t="s">
        <v>85</v>
      </c>
      <c r="C10" t="s">
        <v>15</v>
      </c>
      <c r="D10" t="s">
        <v>86</v>
      </c>
      <c r="E10" t="s">
        <v>29</v>
      </c>
      <c r="F10" t="s">
        <v>30</v>
      </c>
      <c r="G10" t="s">
        <v>40</v>
      </c>
      <c r="H10" t="s">
        <v>31</v>
      </c>
      <c r="I10" t="s">
        <v>21</v>
      </c>
      <c r="J10" t="s">
        <v>32</v>
      </c>
      <c r="K10" t="s">
        <v>33</v>
      </c>
      <c r="L10" t="s">
        <v>87</v>
      </c>
      <c r="M10" t="s">
        <v>35</v>
      </c>
      <c r="N10" t="s">
        <v>88</v>
      </c>
    </row>
    <row r="11" spans="1:14">
      <c r="A11">
        <f t="shared" si="0"/>
        <v>10</v>
      </c>
      <c r="B11" t="s">
        <v>89</v>
      </c>
      <c r="C11" t="s">
        <v>15</v>
      </c>
      <c r="D11" t="s">
        <v>58</v>
      </c>
      <c r="E11" t="s">
        <v>29</v>
      </c>
      <c r="F11" t="s">
        <v>30</v>
      </c>
      <c r="G11" t="s">
        <v>19</v>
      </c>
      <c r="H11" t="s">
        <v>41</v>
      </c>
      <c r="I11" t="s">
        <v>90</v>
      </c>
      <c r="J11" t="s">
        <v>52</v>
      </c>
      <c r="K11" t="s">
        <v>91</v>
      </c>
      <c r="L11" t="s">
        <v>92</v>
      </c>
      <c r="M11" t="s">
        <v>93</v>
      </c>
      <c r="N11" t="s">
        <v>94</v>
      </c>
    </row>
    <row r="12" spans="1:14">
      <c r="A12">
        <f t="shared" si="0"/>
        <v>11</v>
      </c>
      <c r="B12" t="s">
        <v>95</v>
      </c>
      <c r="C12" t="s">
        <v>15</v>
      </c>
      <c r="D12" t="s">
        <v>96</v>
      </c>
      <c r="E12" t="s">
        <v>59</v>
      </c>
      <c r="F12" t="s">
        <v>97</v>
      </c>
      <c r="G12" t="s">
        <v>51</v>
      </c>
      <c r="H12" t="s">
        <v>41</v>
      </c>
      <c r="I12" t="s">
        <v>21</v>
      </c>
      <c r="J12" t="s">
        <v>32</v>
      </c>
      <c r="K12" t="s">
        <v>98</v>
      </c>
      <c r="L12" t="s">
        <v>99</v>
      </c>
      <c r="M12" t="s">
        <v>83</v>
      </c>
      <c r="N12" t="s">
        <v>100</v>
      </c>
    </row>
    <row r="13" spans="1:14">
      <c r="A13">
        <f t="shared" si="0"/>
        <v>12</v>
      </c>
      <c r="B13" t="s">
        <v>101</v>
      </c>
      <c r="C13" t="s">
        <v>15</v>
      </c>
      <c r="D13" t="s">
        <v>102</v>
      </c>
      <c r="E13" t="s">
        <v>59</v>
      </c>
      <c r="F13" t="s">
        <v>30</v>
      </c>
      <c r="G13" t="s">
        <v>40</v>
      </c>
      <c r="H13" t="s">
        <v>41</v>
      </c>
      <c r="I13" t="s">
        <v>80</v>
      </c>
      <c r="J13" t="s">
        <v>32</v>
      </c>
      <c r="K13" t="s">
        <v>81</v>
      </c>
      <c r="L13" t="s">
        <v>103</v>
      </c>
      <c r="M13" t="s">
        <v>83</v>
      </c>
      <c r="N13" t="s">
        <v>104</v>
      </c>
    </row>
    <row r="14" spans="1:14">
      <c r="A14">
        <f t="shared" si="0"/>
        <v>13</v>
      </c>
      <c r="B14" t="s">
        <v>105</v>
      </c>
      <c r="C14" t="s">
        <v>15</v>
      </c>
      <c r="D14" t="s">
        <v>38</v>
      </c>
      <c r="E14" t="s">
        <v>29</v>
      </c>
      <c r="F14" t="s">
        <v>19</v>
      </c>
      <c r="G14" t="s">
        <v>106</v>
      </c>
      <c r="H14" t="s">
        <v>41</v>
      </c>
      <c r="I14" t="s">
        <v>107</v>
      </c>
      <c r="J14" t="s">
        <v>43</v>
      </c>
      <c r="K14" t="s">
        <v>44</v>
      </c>
      <c r="L14" t="s">
        <v>108</v>
      </c>
      <c r="M14" t="s">
        <v>109</v>
      </c>
      <c r="N14" t="s">
        <v>110</v>
      </c>
    </row>
    <row r="15" spans="1:14">
      <c r="A15">
        <f t="shared" si="0"/>
        <v>14</v>
      </c>
      <c r="B15" t="s">
        <v>111</v>
      </c>
      <c r="C15" t="s">
        <v>15</v>
      </c>
      <c r="D15" t="s">
        <v>112</v>
      </c>
      <c r="E15" t="s">
        <v>29</v>
      </c>
      <c r="F15" t="s">
        <v>30</v>
      </c>
      <c r="G15" t="s">
        <v>19</v>
      </c>
      <c r="H15" t="s">
        <v>41</v>
      </c>
      <c r="I15" t="s">
        <v>113</v>
      </c>
      <c r="J15" t="s">
        <v>32</v>
      </c>
      <c r="K15" t="s">
        <v>81</v>
      </c>
      <c r="L15" t="s">
        <v>103</v>
      </c>
      <c r="M15" t="s">
        <v>83</v>
      </c>
      <c r="N15" t="s">
        <v>114</v>
      </c>
    </row>
    <row r="16" spans="1:14">
      <c r="A16">
        <f t="shared" si="0"/>
        <v>15</v>
      </c>
      <c r="B16" t="s">
        <v>115</v>
      </c>
      <c r="C16" t="s">
        <v>15</v>
      </c>
      <c r="D16" t="s">
        <v>116</v>
      </c>
      <c r="E16" t="s">
        <v>29</v>
      </c>
      <c r="F16" t="s">
        <v>50</v>
      </c>
      <c r="G16" t="s">
        <v>51</v>
      </c>
      <c r="H16" t="s">
        <v>41</v>
      </c>
      <c r="I16" t="s">
        <v>60</v>
      </c>
      <c r="J16" t="s">
        <v>52</v>
      </c>
      <c r="K16" t="s">
        <v>74</v>
      </c>
      <c r="L16" t="s">
        <v>117</v>
      </c>
      <c r="M16" t="s">
        <v>118</v>
      </c>
      <c r="N16" t="s">
        <v>119</v>
      </c>
    </row>
    <row r="17" spans="1:14">
      <c r="A17">
        <f t="shared" si="0"/>
        <v>16</v>
      </c>
      <c r="B17" t="s">
        <v>120</v>
      </c>
      <c r="C17" t="s">
        <v>15</v>
      </c>
      <c r="D17" t="s">
        <v>102</v>
      </c>
      <c r="E17" t="s">
        <v>29</v>
      </c>
      <c r="F17" t="s">
        <v>30</v>
      </c>
      <c r="G17" t="s">
        <v>40</v>
      </c>
      <c r="H17" t="s">
        <v>41</v>
      </c>
      <c r="I17" t="s">
        <v>80</v>
      </c>
      <c r="J17" t="s">
        <v>32</v>
      </c>
      <c r="K17" t="s">
        <v>81</v>
      </c>
      <c r="L17" t="s">
        <v>121</v>
      </c>
      <c r="M17" t="s">
        <v>122</v>
      </c>
      <c r="N17" t="s">
        <v>123</v>
      </c>
    </row>
    <row r="18" spans="1:14">
      <c r="A18">
        <f t="shared" si="0"/>
        <v>17</v>
      </c>
      <c r="B18" t="s">
        <v>124</v>
      </c>
      <c r="C18" t="s">
        <v>15</v>
      </c>
      <c r="D18" t="s">
        <v>16</v>
      </c>
      <c r="E18" t="s">
        <v>29</v>
      </c>
      <c r="F18" t="s">
        <v>30</v>
      </c>
      <c r="G18" t="s">
        <v>19</v>
      </c>
      <c r="H18" t="s">
        <v>125</v>
      </c>
      <c r="I18" t="s">
        <v>21</v>
      </c>
      <c r="J18" t="s">
        <v>32</v>
      </c>
      <c r="K18" t="s">
        <v>126</v>
      </c>
      <c r="L18" t="s">
        <v>127</v>
      </c>
      <c r="M18" t="s">
        <v>128</v>
      </c>
      <c r="N18" t="s">
        <v>129</v>
      </c>
    </row>
    <row r="19" spans="1:14">
      <c r="A19">
        <f t="shared" si="0"/>
        <v>18</v>
      </c>
      <c r="B19" t="s">
        <v>130</v>
      </c>
      <c r="C19" t="s">
        <v>15</v>
      </c>
      <c r="D19" t="s">
        <v>131</v>
      </c>
      <c r="E19" t="s">
        <v>29</v>
      </c>
      <c r="F19" t="s">
        <v>97</v>
      </c>
      <c r="G19" t="s">
        <v>51</v>
      </c>
      <c r="H19" t="s">
        <v>41</v>
      </c>
      <c r="I19" t="s">
        <v>21</v>
      </c>
      <c r="J19" t="s">
        <v>32</v>
      </c>
      <c r="K19" t="s">
        <v>98</v>
      </c>
      <c r="L19" t="s">
        <v>132</v>
      </c>
      <c r="M19" t="s">
        <v>133</v>
      </c>
      <c r="N19" t="s">
        <v>134</v>
      </c>
    </row>
    <row r="20" spans="1:14">
      <c r="A20">
        <f t="shared" si="0"/>
        <v>19</v>
      </c>
      <c r="B20" t="s">
        <v>135</v>
      </c>
      <c r="C20" t="s">
        <v>15</v>
      </c>
      <c r="D20" t="s">
        <v>49</v>
      </c>
      <c r="E20" t="s">
        <v>59</v>
      </c>
      <c r="F20" t="s">
        <v>50</v>
      </c>
      <c r="G20" t="s">
        <v>51</v>
      </c>
      <c r="H20" t="s">
        <v>41</v>
      </c>
      <c r="I20" t="s">
        <v>60</v>
      </c>
      <c r="J20" t="s">
        <v>52</v>
      </c>
      <c r="K20" t="s">
        <v>53</v>
      </c>
      <c r="L20" t="s">
        <v>136</v>
      </c>
      <c r="M20" t="s">
        <v>137</v>
      </c>
      <c r="N20" t="s">
        <v>138</v>
      </c>
    </row>
    <row r="21" spans="1:14">
      <c r="A21">
        <f>ROW()-1</f>
        <v>20</v>
      </c>
      <c r="B21" t="s">
        <v>139</v>
      </c>
      <c r="C21" t="s">
        <v>15</v>
      </c>
      <c r="D21" t="s">
        <v>140</v>
      </c>
      <c r="E21" t="s">
        <v>59</v>
      </c>
      <c r="F21" t="s">
        <v>30</v>
      </c>
      <c r="G21" t="s">
        <v>40</v>
      </c>
      <c r="H21" t="s">
        <v>41</v>
      </c>
      <c r="I21" t="s">
        <v>80</v>
      </c>
      <c r="J21" t="s">
        <v>32</v>
      </c>
      <c r="K21" t="s">
        <v>81</v>
      </c>
      <c r="L21" t="s">
        <v>121</v>
      </c>
      <c r="M21" t="s">
        <v>141</v>
      </c>
      <c r="N21" t="s">
        <v>142</v>
      </c>
    </row>
    <row r="22" spans="1:14">
      <c r="A22">
        <f t="shared" si="0"/>
        <v>21</v>
      </c>
      <c r="B22" t="s">
        <v>143</v>
      </c>
      <c r="C22" t="s">
        <v>15</v>
      </c>
      <c r="D22" t="s">
        <v>66</v>
      </c>
      <c r="E22" t="s">
        <v>59</v>
      </c>
      <c r="F22" t="s">
        <v>30</v>
      </c>
      <c r="G22" t="s">
        <v>19</v>
      </c>
      <c r="H22" t="s">
        <v>41</v>
      </c>
      <c r="I22" t="s">
        <v>90</v>
      </c>
      <c r="J22" t="s">
        <v>144</v>
      </c>
      <c r="K22" t="s">
        <v>91</v>
      </c>
      <c r="L22" t="s">
        <v>145</v>
      </c>
      <c r="M22" t="s">
        <v>146</v>
      </c>
      <c r="N22" t="s">
        <v>147</v>
      </c>
    </row>
    <row r="23" spans="1:14">
      <c r="A23">
        <f t="shared" si="0"/>
        <v>22</v>
      </c>
      <c r="B23" t="s">
        <v>148</v>
      </c>
      <c r="C23" t="s">
        <v>15</v>
      </c>
      <c r="D23" t="s">
        <v>66</v>
      </c>
      <c r="E23" t="s">
        <v>29</v>
      </c>
      <c r="F23" t="s">
        <v>30</v>
      </c>
      <c r="G23" t="s">
        <v>40</v>
      </c>
      <c r="H23" t="s">
        <v>41</v>
      </c>
      <c r="I23" t="s">
        <v>90</v>
      </c>
      <c r="J23" t="s">
        <v>52</v>
      </c>
      <c r="K23" t="s">
        <v>91</v>
      </c>
      <c r="L23" t="s">
        <v>149</v>
      </c>
      <c r="M23" t="s">
        <v>150</v>
      </c>
      <c r="N23" t="s">
        <v>151</v>
      </c>
    </row>
    <row r="24" spans="1:14">
      <c r="A24">
        <f t="shared" si="0"/>
        <v>23</v>
      </c>
      <c r="B24" t="s">
        <v>152</v>
      </c>
      <c r="C24" t="s">
        <v>15</v>
      </c>
      <c r="D24" t="s">
        <v>96</v>
      </c>
      <c r="E24" t="s">
        <v>59</v>
      </c>
      <c r="F24" t="s">
        <v>50</v>
      </c>
      <c r="G24" t="s">
        <v>19</v>
      </c>
      <c r="H24" t="s">
        <v>41</v>
      </c>
      <c r="I24" t="s">
        <v>60</v>
      </c>
      <c r="J24" t="s">
        <v>52</v>
      </c>
      <c r="K24" t="s">
        <v>74</v>
      </c>
      <c r="L24" t="s">
        <v>75</v>
      </c>
      <c r="M24" t="s">
        <v>153</v>
      </c>
      <c r="N24" t="s">
        <v>154</v>
      </c>
    </row>
    <row r="25" spans="1:14">
      <c r="A25">
        <f t="shared" si="0"/>
        <v>24</v>
      </c>
      <c r="B25" t="s">
        <v>155</v>
      </c>
      <c r="C25" t="s">
        <v>15</v>
      </c>
      <c r="D25" t="s">
        <v>140</v>
      </c>
      <c r="E25" t="s">
        <v>29</v>
      </c>
      <c r="F25" t="s">
        <v>30</v>
      </c>
      <c r="G25" t="s">
        <v>40</v>
      </c>
      <c r="H25" t="s">
        <v>41</v>
      </c>
      <c r="I25" t="s">
        <v>80</v>
      </c>
      <c r="J25" t="s">
        <v>32</v>
      </c>
      <c r="K25" t="s">
        <v>81</v>
      </c>
      <c r="L25" t="s">
        <v>156</v>
      </c>
      <c r="M25" t="s">
        <v>141</v>
      </c>
      <c r="N25" t="s">
        <v>157</v>
      </c>
    </row>
    <row r="26" spans="1:14">
      <c r="A26">
        <f t="shared" si="0"/>
        <v>25</v>
      </c>
      <c r="B26" t="s">
        <v>158</v>
      </c>
      <c r="C26" t="s">
        <v>15</v>
      </c>
      <c r="D26" t="s">
        <v>159</v>
      </c>
      <c r="E26" t="s">
        <v>29</v>
      </c>
      <c r="F26" t="s">
        <v>97</v>
      </c>
      <c r="G26" t="s">
        <v>51</v>
      </c>
      <c r="H26" t="s">
        <v>41</v>
      </c>
      <c r="I26" t="s">
        <v>21</v>
      </c>
      <c r="J26" t="s">
        <v>32</v>
      </c>
      <c r="K26" t="s">
        <v>98</v>
      </c>
      <c r="L26" t="s">
        <v>132</v>
      </c>
      <c r="M26" t="s">
        <v>160</v>
      </c>
      <c r="N26" t="s">
        <v>161</v>
      </c>
    </row>
    <row r="27" spans="1:14">
      <c r="A27">
        <f t="shared" si="0"/>
        <v>26</v>
      </c>
      <c r="B27" t="s">
        <v>162</v>
      </c>
      <c r="C27" t="s">
        <v>15</v>
      </c>
      <c r="D27" t="s">
        <v>163</v>
      </c>
      <c r="E27" t="s">
        <v>29</v>
      </c>
      <c r="F27" t="s">
        <v>30</v>
      </c>
      <c r="G27" t="s">
        <v>19</v>
      </c>
      <c r="H27" t="s">
        <v>41</v>
      </c>
      <c r="I27" t="s">
        <v>113</v>
      </c>
      <c r="J27" t="s">
        <v>32</v>
      </c>
      <c r="K27" t="s">
        <v>81</v>
      </c>
      <c r="L27" t="s">
        <v>164</v>
      </c>
      <c r="M27" t="s">
        <v>165</v>
      </c>
      <c r="N27" t="s">
        <v>166</v>
      </c>
    </row>
    <row r="28" spans="1:14">
      <c r="A28">
        <f t="shared" si="0"/>
        <v>27</v>
      </c>
      <c r="B28" t="s">
        <v>167</v>
      </c>
      <c r="C28" t="s">
        <v>15</v>
      </c>
      <c r="D28" t="s">
        <v>168</v>
      </c>
      <c r="E28" t="s">
        <v>29</v>
      </c>
      <c r="F28" t="s">
        <v>30</v>
      </c>
      <c r="G28" t="s">
        <v>19</v>
      </c>
      <c r="H28" t="s">
        <v>169</v>
      </c>
      <c r="I28" t="s">
        <v>21</v>
      </c>
      <c r="J28" t="s">
        <v>32</v>
      </c>
      <c r="K28" t="s">
        <v>170</v>
      </c>
      <c r="L28" t="s">
        <v>171</v>
      </c>
      <c r="M28" t="s">
        <v>172</v>
      </c>
      <c r="N28" t="s">
        <v>173</v>
      </c>
    </row>
    <row r="29" spans="1:14">
      <c r="A29">
        <f t="shared" si="0"/>
        <v>28</v>
      </c>
      <c r="B29" t="s">
        <v>174</v>
      </c>
      <c r="C29" t="s">
        <v>15</v>
      </c>
      <c r="D29" t="s">
        <v>168</v>
      </c>
      <c r="E29" t="s">
        <v>59</v>
      </c>
      <c r="F29" t="s">
        <v>30</v>
      </c>
      <c r="G29" t="s">
        <v>19</v>
      </c>
      <c r="H29" t="s">
        <v>31</v>
      </c>
      <c r="I29" t="s">
        <v>90</v>
      </c>
      <c r="J29" t="s">
        <v>32</v>
      </c>
      <c r="K29" t="s">
        <v>33</v>
      </c>
      <c r="L29" t="s">
        <v>175</v>
      </c>
      <c r="M29" t="s">
        <v>176</v>
      </c>
      <c r="N29" t="s">
        <v>177</v>
      </c>
    </row>
    <row r="30" spans="1:14">
      <c r="A30">
        <f t="shared" si="0"/>
        <v>29</v>
      </c>
      <c r="B30" t="s">
        <v>178</v>
      </c>
      <c r="C30" t="s">
        <v>15</v>
      </c>
      <c r="D30" t="s">
        <v>179</v>
      </c>
      <c r="E30" t="s">
        <v>29</v>
      </c>
      <c r="F30" t="s">
        <v>30</v>
      </c>
      <c r="G30" t="s">
        <v>19</v>
      </c>
      <c r="H30" t="s">
        <v>41</v>
      </c>
      <c r="I30" t="s">
        <v>90</v>
      </c>
      <c r="J30" t="s">
        <v>144</v>
      </c>
      <c r="K30" t="s">
        <v>91</v>
      </c>
      <c r="L30" t="s">
        <v>180</v>
      </c>
      <c r="M30" t="s">
        <v>181</v>
      </c>
      <c r="N30" t="s">
        <v>182</v>
      </c>
    </row>
    <row r="31" spans="1:14">
      <c r="A31">
        <f t="shared" si="0"/>
        <v>30</v>
      </c>
      <c r="B31" t="s">
        <v>183</v>
      </c>
      <c r="C31" t="s">
        <v>15</v>
      </c>
      <c r="D31" t="s">
        <v>140</v>
      </c>
      <c r="E31" t="s">
        <v>29</v>
      </c>
      <c r="F31" t="s">
        <v>30</v>
      </c>
      <c r="G31" t="s">
        <v>19</v>
      </c>
      <c r="H31" t="s">
        <v>41</v>
      </c>
      <c r="I31" t="s">
        <v>113</v>
      </c>
      <c r="J31" t="s">
        <v>32</v>
      </c>
      <c r="K31" t="s">
        <v>81</v>
      </c>
      <c r="L31" t="s">
        <v>164</v>
      </c>
      <c r="M31" t="s">
        <v>184</v>
      </c>
      <c r="N31" t="s">
        <v>185</v>
      </c>
    </row>
    <row r="32" spans="1:14" ht="76.5">
      <c r="A32">
        <f t="shared" si="0"/>
        <v>31</v>
      </c>
      <c r="B32" s="1" t="s">
        <v>186</v>
      </c>
      <c r="C32" t="s">
        <v>15</v>
      </c>
      <c r="D32" t="s">
        <v>28</v>
      </c>
      <c r="E32" t="s">
        <v>59</v>
      </c>
      <c r="F32" t="s">
        <v>30</v>
      </c>
      <c r="G32">
        <v>1</v>
      </c>
      <c r="H32" t="s">
        <v>31</v>
      </c>
      <c r="I32" t="s">
        <v>187</v>
      </c>
      <c r="J32" t="s">
        <v>32</v>
      </c>
      <c r="K32" t="s">
        <v>33</v>
      </c>
      <c r="L32" s="1" t="s">
        <v>34</v>
      </c>
      <c r="M32" s="1" t="s">
        <v>188</v>
      </c>
      <c r="N32" s="1" t="s">
        <v>189</v>
      </c>
    </row>
    <row r="33" spans="1:14" ht="91.5">
      <c r="A33">
        <f t="shared" si="0"/>
        <v>32</v>
      </c>
      <c r="B33" s="1" t="s">
        <v>190</v>
      </c>
      <c r="C33" t="s">
        <v>15</v>
      </c>
      <c r="D33" t="s">
        <v>168</v>
      </c>
      <c r="E33" t="s">
        <v>29</v>
      </c>
      <c r="F33" t="s">
        <v>191</v>
      </c>
      <c r="G33">
        <v>1</v>
      </c>
      <c r="H33" t="s">
        <v>192</v>
      </c>
      <c r="I33" t="s">
        <v>193</v>
      </c>
      <c r="J33" t="s">
        <v>32</v>
      </c>
      <c r="K33" t="s">
        <v>23</v>
      </c>
      <c r="L33" s="1" t="s">
        <v>24</v>
      </c>
      <c r="M33" s="1" t="s">
        <v>194</v>
      </c>
      <c r="N33" s="1" t="s">
        <v>195</v>
      </c>
    </row>
    <row r="34" spans="1:14" ht="91.5">
      <c r="A34">
        <f t="shared" si="0"/>
        <v>33</v>
      </c>
      <c r="B34" s="1" t="s">
        <v>196</v>
      </c>
      <c r="C34" t="s">
        <v>15</v>
      </c>
      <c r="D34" t="s">
        <v>179</v>
      </c>
      <c r="E34" t="s">
        <v>59</v>
      </c>
      <c r="F34" t="s">
        <v>30</v>
      </c>
      <c r="G34">
        <v>1</v>
      </c>
      <c r="H34" t="s">
        <v>197</v>
      </c>
      <c r="I34" t="s">
        <v>198</v>
      </c>
      <c r="J34" t="s">
        <v>43</v>
      </c>
      <c r="K34" t="s">
        <v>199</v>
      </c>
      <c r="L34" s="1" t="s">
        <v>200</v>
      </c>
      <c r="M34" s="1" t="s">
        <v>201</v>
      </c>
      <c r="N34" s="1" t="s">
        <v>202</v>
      </c>
    </row>
    <row r="35" spans="1:14" ht="60.75">
      <c r="A35">
        <f>ROW()-1</f>
        <v>34</v>
      </c>
      <c r="B35" s="1" t="s">
        <v>203</v>
      </c>
      <c r="C35" t="s">
        <v>15</v>
      </c>
      <c r="D35" t="s">
        <v>168</v>
      </c>
      <c r="E35" t="s">
        <v>29</v>
      </c>
      <c r="F35" t="s">
        <v>30</v>
      </c>
      <c r="G35">
        <v>1</v>
      </c>
      <c r="H35" t="s">
        <v>31</v>
      </c>
      <c r="I35" t="s">
        <v>187</v>
      </c>
      <c r="J35" t="s">
        <v>32</v>
      </c>
      <c r="K35" t="s">
        <v>33</v>
      </c>
      <c r="L35" s="1" t="s">
        <v>34</v>
      </c>
      <c r="M35" s="1" t="s">
        <v>188</v>
      </c>
      <c r="N35" s="1" t="s">
        <v>204</v>
      </c>
    </row>
    <row r="36" spans="1:14" ht="106.5">
      <c r="A36">
        <f t="shared" si="0"/>
        <v>35</v>
      </c>
      <c r="B36" s="1" t="s">
        <v>205</v>
      </c>
      <c r="C36" t="s">
        <v>15</v>
      </c>
      <c r="D36" t="s">
        <v>58</v>
      </c>
      <c r="E36" t="s">
        <v>59</v>
      </c>
      <c r="F36" t="s">
        <v>30</v>
      </c>
      <c r="G36">
        <v>1</v>
      </c>
      <c r="H36" t="s">
        <v>41</v>
      </c>
      <c r="I36" t="s">
        <v>206</v>
      </c>
      <c r="J36" t="s">
        <v>144</v>
      </c>
      <c r="K36" t="s">
        <v>91</v>
      </c>
      <c r="L36" s="1" t="s">
        <v>207</v>
      </c>
      <c r="M36" s="1" t="s">
        <v>208</v>
      </c>
      <c r="N36" s="1" t="s">
        <v>209</v>
      </c>
    </row>
    <row r="37" spans="1:14" ht="60.75">
      <c r="A37">
        <f t="shared" si="0"/>
        <v>36</v>
      </c>
      <c r="B37" s="1" t="s">
        <v>210</v>
      </c>
      <c r="C37" t="s">
        <v>15</v>
      </c>
      <c r="D37" t="s">
        <v>86</v>
      </c>
      <c r="E37" t="s">
        <v>59</v>
      </c>
      <c r="F37" t="s">
        <v>30</v>
      </c>
      <c r="G37">
        <v>1</v>
      </c>
      <c r="H37" t="s">
        <v>31</v>
      </c>
      <c r="I37" t="s">
        <v>187</v>
      </c>
      <c r="J37" t="s">
        <v>32</v>
      </c>
      <c r="K37" t="s">
        <v>33</v>
      </c>
      <c r="L37" s="1" t="s">
        <v>34</v>
      </c>
      <c r="M37" s="1" t="s">
        <v>188</v>
      </c>
      <c r="N37" s="1" t="s">
        <v>211</v>
      </c>
    </row>
    <row r="38" spans="1:14" ht="60.75">
      <c r="A38">
        <f t="shared" si="0"/>
        <v>37</v>
      </c>
      <c r="B38" s="1" t="s">
        <v>212</v>
      </c>
      <c r="C38" t="s">
        <v>15</v>
      </c>
      <c r="D38" t="s">
        <v>102</v>
      </c>
      <c r="E38" t="s">
        <v>29</v>
      </c>
      <c r="F38" t="s">
        <v>30</v>
      </c>
      <c r="G38">
        <v>1</v>
      </c>
      <c r="H38" t="s">
        <v>41</v>
      </c>
      <c r="I38" t="s">
        <v>213</v>
      </c>
      <c r="J38" t="s">
        <v>214</v>
      </c>
      <c r="K38" t="s">
        <v>81</v>
      </c>
      <c r="L38" s="1" t="s">
        <v>215</v>
      </c>
      <c r="M38" s="1" t="s">
        <v>216</v>
      </c>
      <c r="N38" s="1" t="s">
        <v>217</v>
      </c>
    </row>
    <row r="39" spans="1:14" ht="106.5">
      <c r="A39">
        <f t="shared" si="0"/>
        <v>38</v>
      </c>
      <c r="B39" s="1" t="s">
        <v>218</v>
      </c>
      <c r="C39" t="s">
        <v>15</v>
      </c>
      <c r="D39" t="s">
        <v>16</v>
      </c>
      <c r="E39" t="s">
        <v>17</v>
      </c>
      <c r="F39" t="s">
        <v>219</v>
      </c>
      <c r="G39">
        <v>1</v>
      </c>
      <c r="H39" t="s">
        <v>192</v>
      </c>
      <c r="I39" t="s">
        <v>193</v>
      </c>
      <c r="J39" t="s">
        <v>32</v>
      </c>
      <c r="K39" t="s">
        <v>23</v>
      </c>
      <c r="L39" s="1" t="s">
        <v>24</v>
      </c>
      <c r="M39" s="1" t="s">
        <v>194</v>
      </c>
      <c r="N39" s="1" t="s">
        <v>220</v>
      </c>
    </row>
    <row r="40" spans="1:14" ht="106.5">
      <c r="A40">
        <f t="shared" si="0"/>
        <v>39</v>
      </c>
      <c r="B40" s="1" t="s">
        <v>221</v>
      </c>
      <c r="C40" t="s">
        <v>15</v>
      </c>
      <c r="D40" t="s">
        <v>179</v>
      </c>
      <c r="E40" t="s">
        <v>59</v>
      </c>
      <c r="F40" t="s">
        <v>30</v>
      </c>
      <c r="G40">
        <v>3</v>
      </c>
      <c r="H40" t="s">
        <v>41</v>
      </c>
      <c r="I40" t="s">
        <v>206</v>
      </c>
      <c r="J40" t="s">
        <v>222</v>
      </c>
      <c r="K40" t="s">
        <v>91</v>
      </c>
      <c r="L40" s="1" t="s">
        <v>223</v>
      </c>
      <c r="M40" s="1" t="s">
        <v>208</v>
      </c>
      <c r="N40" s="1" t="s">
        <v>224</v>
      </c>
    </row>
    <row r="41" spans="1:14" ht="91.5">
      <c r="A41">
        <f>ROW()-1</f>
        <v>40</v>
      </c>
      <c r="B41" s="1" t="s">
        <v>225</v>
      </c>
      <c r="C41" t="s">
        <v>15</v>
      </c>
      <c r="D41" t="s">
        <v>49</v>
      </c>
      <c r="E41" t="s">
        <v>59</v>
      </c>
      <c r="F41" t="s">
        <v>30</v>
      </c>
      <c r="G41">
        <v>1</v>
      </c>
      <c r="H41" t="s">
        <v>197</v>
      </c>
      <c r="I41" t="s">
        <v>198</v>
      </c>
      <c r="J41" t="s">
        <v>43</v>
      </c>
      <c r="K41" t="s">
        <v>199</v>
      </c>
      <c r="L41" s="1" t="s">
        <v>200</v>
      </c>
      <c r="M41" s="1" t="s">
        <v>201</v>
      </c>
      <c r="N41" s="1" t="s">
        <v>202</v>
      </c>
    </row>
    <row r="42" spans="1:14" ht="76.5">
      <c r="A42">
        <f t="shared" si="0"/>
        <v>41</v>
      </c>
      <c r="B42" s="1" t="s">
        <v>226</v>
      </c>
      <c r="C42" t="s">
        <v>15</v>
      </c>
      <c r="D42" t="s">
        <v>38</v>
      </c>
      <c r="E42" t="s">
        <v>29</v>
      </c>
      <c r="F42" t="s">
        <v>227</v>
      </c>
      <c r="G42" t="s">
        <v>228</v>
      </c>
      <c r="H42" t="s">
        <v>197</v>
      </c>
      <c r="I42" t="s">
        <v>229</v>
      </c>
      <c r="J42" t="s">
        <v>230</v>
      </c>
      <c r="K42" t="s">
        <v>231</v>
      </c>
      <c r="L42" s="1" t="s">
        <v>232</v>
      </c>
      <c r="M42" s="1" t="s">
        <v>233</v>
      </c>
      <c r="N42" s="1" t="s">
        <v>234</v>
      </c>
    </row>
    <row r="43" spans="1:14" ht="91.5">
      <c r="A43">
        <f t="shared" si="0"/>
        <v>42</v>
      </c>
      <c r="B43" s="1" t="s">
        <v>235</v>
      </c>
      <c r="C43" t="s">
        <v>15</v>
      </c>
      <c r="D43" t="s">
        <v>58</v>
      </c>
      <c r="E43" t="s">
        <v>29</v>
      </c>
      <c r="F43" t="s">
        <v>30</v>
      </c>
      <c r="G43" t="s">
        <v>236</v>
      </c>
      <c r="H43" t="s">
        <v>197</v>
      </c>
      <c r="I43" t="s">
        <v>198</v>
      </c>
      <c r="J43" t="s">
        <v>43</v>
      </c>
      <c r="K43" t="s">
        <v>199</v>
      </c>
      <c r="L43" s="1" t="s">
        <v>200</v>
      </c>
      <c r="M43" s="1" t="s">
        <v>201</v>
      </c>
      <c r="N43" s="1" t="s">
        <v>237</v>
      </c>
    </row>
    <row r="44" spans="1:14" ht="106.5">
      <c r="A44">
        <f t="shared" si="0"/>
        <v>43</v>
      </c>
      <c r="B44" s="1" t="s">
        <v>238</v>
      </c>
      <c r="C44" t="s">
        <v>15</v>
      </c>
      <c r="D44" t="s">
        <v>38</v>
      </c>
      <c r="E44" t="s">
        <v>59</v>
      </c>
      <c r="F44" t="s">
        <v>30</v>
      </c>
      <c r="G44">
        <v>3</v>
      </c>
      <c r="H44" t="s">
        <v>41</v>
      </c>
      <c r="I44" t="s">
        <v>206</v>
      </c>
      <c r="J44" t="s">
        <v>222</v>
      </c>
      <c r="K44" t="s">
        <v>91</v>
      </c>
      <c r="L44" s="1" t="s">
        <v>223</v>
      </c>
      <c r="M44" s="1" t="s">
        <v>208</v>
      </c>
      <c r="N44" s="1" t="s">
        <v>224</v>
      </c>
    </row>
    <row r="45" spans="1:14" ht="76.5">
      <c r="A45">
        <f t="shared" si="0"/>
        <v>44</v>
      </c>
      <c r="B45" s="1" t="s">
        <v>239</v>
      </c>
      <c r="C45" t="s">
        <v>15</v>
      </c>
      <c r="D45" t="s">
        <v>28</v>
      </c>
      <c r="E45" t="s">
        <v>29</v>
      </c>
      <c r="F45" t="s">
        <v>30</v>
      </c>
      <c r="G45">
        <v>3</v>
      </c>
      <c r="H45" t="s">
        <v>31</v>
      </c>
      <c r="I45" t="s">
        <v>187</v>
      </c>
      <c r="J45" t="s">
        <v>32</v>
      </c>
      <c r="K45" t="s">
        <v>33</v>
      </c>
      <c r="L45" s="1" t="s">
        <v>34</v>
      </c>
      <c r="M45" s="1" t="s">
        <v>188</v>
      </c>
      <c r="N45" s="1" t="s">
        <v>240</v>
      </c>
    </row>
    <row r="46" spans="1:14" ht="106.5">
      <c r="A46">
        <f t="shared" si="0"/>
        <v>45</v>
      </c>
      <c r="B46" s="1" t="s">
        <v>241</v>
      </c>
      <c r="C46" t="s">
        <v>15</v>
      </c>
      <c r="D46" t="s">
        <v>49</v>
      </c>
      <c r="E46" t="s">
        <v>29</v>
      </c>
      <c r="F46" t="s">
        <v>30</v>
      </c>
      <c r="G46">
        <v>3</v>
      </c>
      <c r="H46" t="s">
        <v>41</v>
      </c>
      <c r="I46" t="s">
        <v>206</v>
      </c>
      <c r="J46" t="s">
        <v>222</v>
      </c>
      <c r="K46" t="s">
        <v>91</v>
      </c>
      <c r="L46" s="1" t="s">
        <v>223</v>
      </c>
      <c r="M46" s="1" t="s">
        <v>208</v>
      </c>
      <c r="N46" s="1" t="s">
        <v>242</v>
      </c>
    </row>
    <row r="47" spans="1:14" ht="60.75">
      <c r="A47">
        <f t="shared" si="0"/>
        <v>46</v>
      </c>
      <c r="B47" s="1" t="s">
        <v>48</v>
      </c>
      <c r="C47" t="s">
        <v>15</v>
      </c>
      <c r="D47" t="s">
        <v>243</v>
      </c>
      <c r="E47" t="s">
        <v>29</v>
      </c>
      <c r="F47" s="1" t="s">
        <v>30</v>
      </c>
      <c r="G47" t="s">
        <v>244</v>
      </c>
      <c r="H47" t="s">
        <v>41</v>
      </c>
      <c r="I47" s="1" t="s">
        <v>245</v>
      </c>
      <c r="J47" s="1" t="s">
        <v>246</v>
      </c>
      <c r="K47" t="s">
        <v>53</v>
      </c>
      <c r="L47" s="1" t="s">
        <v>247</v>
      </c>
      <c r="M47" s="1" t="s">
        <v>248</v>
      </c>
      <c r="N47" s="1" t="s">
        <v>249</v>
      </c>
    </row>
    <row r="48" spans="1:14" ht="91.5">
      <c r="A48">
        <f t="shared" si="0"/>
        <v>47</v>
      </c>
      <c r="B48" s="1" t="s">
        <v>27</v>
      </c>
      <c r="C48" t="s">
        <v>15</v>
      </c>
      <c r="D48" t="s">
        <v>28</v>
      </c>
      <c r="E48" t="s">
        <v>29</v>
      </c>
      <c r="F48" s="1" t="s">
        <v>30</v>
      </c>
      <c r="G48" t="s">
        <v>19</v>
      </c>
      <c r="H48" t="s">
        <v>31</v>
      </c>
      <c r="I48" s="1" t="s">
        <v>187</v>
      </c>
      <c r="J48" s="1" t="s">
        <v>32</v>
      </c>
      <c r="K48" t="s">
        <v>33</v>
      </c>
      <c r="L48" s="1" t="s">
        <v>34</v>
      </c>
      <c r="M48" s="1" t="s">
        <v>250</v>
      </c>
      <c r="N48" s="1" t="s">
        <v>251</v>
      </c>
    </row>
    <row r="49" spans="1:14" ht="106.5">
      <c r="A49">
        <f t="shared" si="0"/>
        <v>48</v>
      </c>
      <c r="B49" s="1" t="s">
        <v>37</v>
      </c>
      <c r="C49" t="s">
        <v>15</v>
      </c>
      <c r="D49" t="s">
        <v>252</v>
      </c>
      <c r="E49" t="s">
        <v>29</v>
      </c>
      <c r="F49" s="1" t="s">
        <v>30</v>
      </c>
      <c r="G49" t="s">
        <v>253</v>
      </c>
      <c r="H49" t="s">
        <v>254</v>
      </c>
      <c r="I49" s="1" t="s">
        <v>229</v>
      </c>
      <c r="J49" s="1" t="s">
        <v>43</v>
      </c>
      <c r="K49" t="s">
        <v>44</v>
      </c>
      <c r="L49" s="1" t="s">
        <v>255</v>
      </c>
      <c r="M49" s="1" t="s">
        <v>256</v>
      </c>
      <c r="N49" s="1" t="s">
        <v>257</v>
      </c>
    </row>
    <row r="50" spans="1:14" ht="91.5">
      <c r="A50">
        <f t="shared" si="0"/>
        <v>49</v>
      </c>
      <c r="B50" s="1" t="s">
        <v>57</v>
      </c>
      <c r="C50" t="s">
        <v>15</v>
      </c>
      <c r="D50" t="s">
        <v>58</v>
      </c>
      <c r="E50" t="s">
        <v>258</v>
      </c>
      <c r="F50" s="1" t="s">
        <v>259</v>
      </c>
      <c r="G50" t="s">
        <v>260</v>
      </c>
      <c r="H50" t="s">
        <v>41</v>
      </c>
      <c r="I50" s="1" t="s">
        <v>261</v>
      </c>
      <c r="J50" s="1" t="s">
        <v>262</v>
      </c>
      <c r="K50" t="s">
        <v>61</v>
      </c>
      <c r="L50" s="1" t="s">
        <v>99</v>
      </c>
      <c r="M50" s="1" t="s">
        <v>201</v>
      </c>
      <c r="N50" s="1" t="s">
        <v>263</v>
      </c>
    </row>
    <row r="51" spans="1:14" ht="76.5">
      <c r="A51">
        <f t="shared" si="0"/>
        <v>50</v>
      </c>
      <c r="B51" s="1" t="s">
        <v>14</v>
      </c>
      <c r="C51" t="s">
        <v>15</v>
      </c>
      <c r="D51" t="s">
        <v>16</v>
      </c>
      <c r="E51" t="s">
        <v>258</v>
      </c>
      <c r="F51" s="1" t="s">
        <v>264</v>
      </c>
      <c r="G51" t="s">
        <v>19</v>
      </c>
      <c r="H51" t="s">
        <v>192</v>
      </c>
      <c r="I51" s="1" t="s">
        <v>265</v>
      </c>
      <c r="J51" s="1" t="s">
        <v>32</v>
      </c>
      <c r="K51" t="s">
        <v>23</v>
      </c>
      <c r="L51" s="1" t="s">
        <v>24</v>
      </c>
      <c r="M51" s="1" t="s">
        <v>194</v>
      </c>
      <c r="N51" s="1" t="s">
        <v>266</v>
      </c>
    </row>
    <row r="52" spans="1:14" ht="91.5">
      <c r="A52">
        <f t="shared" si="0"/>
        <v>51</v>
      </c>
      <c r="B52" s="1" t="s">
        <v>85</v>
      </c>
      <c r="C52" t="s">
        <v>15</v>
      </c>
      <c r="D52" t="s">
        <v>86</v>
      </c>
      <c r="E52" t="s">
        <v>29</v>
      </c>
      <c r="F52" s="1" t="s">
        <v>30</v>
      </c>
      <c r="G52" t="s">
        <v>260</v>
      </c>
      <c r="H52" t="s">
        <v>31</v>
      </c>
      <c r="I52" s="1" t="s">
        <v>187</v>
      </c>
      <c r="J52" s="1" t="s">
        <v>32</v>
      </c>
      <c r="K52" t="s">
        <v>33</v>
      </c>
      <c r="L52" s="1" t="s">
        <v>34</v>
      </c>
      <c r="M52" s="1" t="s">
        <v>250</v>
      </c>
      <c r="N52" s="1" t="s">
        <v>267</v>
      </c>
    </row>
    <row r="53" spans="1:14" ht="76.5">
      <c r="A53">
        <f t="shared" si="0"/>
        <v>52</v>
      </c>
      <c r="B53" s="1" t="s">
        <v>89</v>
      </c>
      <c r="C53" t="s">
        <v>15</v>
      </c>
      <c r="D53" t="s">
        <v>58</v>
      </c>
      <c r="E53" t="s">
        <v>29</v>
      </c>
      <c r="F53" s="1" t="s">
        <v>30</v>
      </c>
      <c r="G53" t="s">
        <v>268</v>
      </c>
      <c r="H53" t="s">
        <v>41</v>
      </c>
      <c r="I53" s="1" t="s">
        <v>269</v>
      </c>
      <c r="J53" s="1" t="s">
        <v>222</v>
      </c>
      <c r="K53" t="s">
        <v>91</v>
      </c>
      <c r="L53" s="1" t="s">
        <v>270</v>
      </c>
      <c r="M53" s="1" t="s">
        <v>208</v>
      </c>
      <c r="N53" s="1" t="s">
        <v>271</v>
      </c>
    </row>
    <row r="54" spans="1:14" ht="91.5">
      <c r="A54">
        <f t="shared" si="0"/>
        <v>53</v>
      </c>
      <c r="B54" s="1" t="s">
        <v>72</v>
      </c>
      <c r="C54" t="s">
        <v>15</v>
      </c>
      <c r="D54" t="s">
        <v>73</v>
      </c>
      <c r="E54" t="s">
        <v>258</v>
      </c>
      <c r="F54" s="1" t="s">
        <v>30</v>
      </c>
      <c r="G54" t="s">
        <v>272</v>
      </c>
      <c r="H54" t="s">
        <v>41</v>
      </c>
      <c r="I54" s="1" t="s">
        <v>245</v>
      </c>
      <c r="J54" s="1" t="s">
        <v>43</v>
      </c>
      <c r="K54" t="s">
        <v>74</v>
      </c>
      <c r="L54" s="1" t="s">
        <v>273</v>
      </c>
      <c r="M54" s="1" t="s">
        <v>274</v>
      </c>
      <c r="N54" s="1" t="s">
        <v>275</v>
      </c>
    </row>
    <row r="55" spans="1:14" ht="76.5">
      <c r="A55">
        <f t="shared" si="0"/>
        <v>54</v>
      </c>
      <c r="B55" s="1" t="s">
        <v>155</v>
      </c>
      <c r="C55" t="s">
        <v>15</v>
      </c>
      <c r="D55" t="s">
        <v>140</v>
      </c>
      <c r="E55" t="s">
        <v>29</v>
      </c>
      <c r="F55" s="1" t="s">
        <v>30</v>
      </c>
      <c r="G55" t="s">
        <v>260</v>
      </c>
      <c r="H55" t="s">
        <v>41</v>
      </c>
      <c r="I55" s="1" t="s">
        <v>276</v>
      </c>
      <c r="J55" s="1" t="s">
        <v>277</v>
      </c>
      <c r="K55" t="s">
        <v>81</v>
      </c>
      <c r="L55" s="1" t="s">
        <v>215</v>
      </c>
      <c r="M55" s="1" t="s">
        <v>216</v>
      </c>
      <c r="N55" s="1" t="s">
        <v>278</v>
      </c>
    </row>
    <row r="56" spans="1:14" ht="76.5">
      <c r="A56">
        <f t="shared" si="0"/>
        <v>55</v>
      </c>
      <c r="B56" s="1" t="s">
        <v>111</v>
      </c>
      <c r="C56" t="s">
        <v>15</v>
      </c>
      <c r="D56" t="s">
        <v>112</v>
      </c>
      <c r="E56" t="s">
        <v>29</v>
      </c>
      <c r="F56" s="1" t="s">
        <v>30</v>
      </c>
      <c r="G56" t="s">
        <v>19</v>
      </c>
      <c r="H56" t="s">
        <v>41</v>
      </c>
      <c r="I56" s="1" t="s">
        <v>213</v>
      </c>
      <c r="J56" s="1" t="s">
        <v>277</v>
      </c>
      <c r="K56" t="s">
        <v>81</v>
      </c>
      <c r="L56" s="1" t="s">
        <v>215</v>
      </c>
      <c r="M56" s="1" t="s">
        <v>216</v>
      </c>
      <c r="N56" s="1" t="s">
        <v>279</v>
      </c>
    </row>
    <row r="57" spans="1:14" ht="76.5">
      <c r="A57">
        <f t="shared" si="0"/>
        <v>56</v>
      </c>
      <c r="B57" s="1" t="s">
        <v>95</v>
      </c>
      <c r="C57" t="s">
        <v>15</v>
      </c>
      <c r="D57" t="s">
        <v>96</v>
      </c>
      <c r="E57" t="s">
        <v>258</v>
      </c>
      <c r="F57" s="1" t="s">
        <v>259</v>
      </c>
      <c r="G57" t="s">
        <v>272</v>
      </c>
      <c r="H57" t="s">
        <v>41</v>
      </c>
      <c r="I57" s="1" t="s">
        <v>280</v>
      </c>
      <c r="J57" s="1" t="s">
        <v>32</v>
      </c>
      <c r="K57" t="s">
        <v>98</v>
      </c>
      <c r="L57" s="1" t="s">
        <v>99</v>
      </c>
      <c r="M57" s="1" t="s">
        <v>281</v>
      </c>
      <c r="N57" s="1" t="s">
        <v>282</v>
      </c>
    </row>
    <row r="58" spans="1:14" ht="91.5">
      <c r="A58">
        <f t="shared" si="0"/>
        <v>57</v>
      </c>
      <c r="B58" s="1" t="s">
        <v>101</v>
      </c>
      <c r="C58" t="s">
        <v>15</v>
      </c>
      <c r="D58" t="s">
        <v>102</v>
      </c>
      <c r="E58" t="s">
        <v>258</v>
      </c>
      <c r="F58" s="1" t="s">
        <v>30</v>
      </c>
      <c r="G58" t="s">
        <v>260</v>
      </c>
      <c r="H58" t="s">
        <v>41</v>
      </c>
      <c r="I58" s="1" t="s">
        <v>276</v>
      </c>
      <c r="J58" s="1" t="s">
        <v>277</v>
      </c>
      <c r="K58" t="s">
        <v>81</v>
      </c>
      <c r="L58" s="1" t="s">
        <v>215</v>
      </c>
      <c r="M58" s="1" t="s">
        <v>216</v>
      </c>
      <c r="N58" s="1" t="s">
        <v>283</v>
      </c>
    </row>
    <row r="59" spans="1:14" ht="91.5">
      <c r="A59">
        <f t="shared" si="0"/>
        <v>58</v>
      </c>
      <c r="B59" s="1" t="s">
        <v>284</v>
      </c>
      <c r="C59" t="s">
        <v>15</v>
      </c>
      <c r="D59" t="s">
        <v>285</v>
      </c>
      <c r="E59" t="s">
        <v>258</v>
      </c>
      <c r="F59" s="1" t="s">
        <v>30</v>
      </c>
      <c r="G59" t="s">
        <v>260</v>
      </c>
      <c r="H59" t="s">
        <v>41</v>
      </c>
      <c r="I59" s="1" t="s">
        <v>276</v>
      </c>
      <c r="J59" s="1" t="s">
        <v>277</v>
      </c>
      <c r="K59" t="s">
        <v>81</v>
      </c>
      <c r="L59" s="1" t="s">
        <v>215</v>
      </c>
      <c r="M59" s="1" t="s">
        <v>216</v>
      </c>
      <c r="N59" s="1" t="s">
        <v>286</v>
      </c>
    </row>
    <row r="60" spans="1:14" ht="76.5">
      <c r="A60">
        <f t="shared" si="0"/>
        <v>59</v>
      </c>
      <c r="B60" s="1" t="s">
        <v>287</v>
      </c>
      <c r="C60" t="s">
        <v>15</v>
      </c>
      <c r="D60" t="s">
        <v>159</v>
      </c>
      <c r="E60" t="s">
        <v>258</v>
      </c>
      <c r="F60" s="1" t="s">
        <v>259</v>
      </c>
      <c r="G60" t="s">
        <v>272</v>
      </c>
      <c r="H60" t="s">
        <v>41</v>
      </c>
      <c r="I60" s="1" t="s">
        <v>288</v>
      </c>
      <c r="J60" s="1" t="s">
        <v>289</v>
      </c>
      <c r="K60" t="s">
        <v>98</v>
      </c>
      <c r="L60" s="1" t="s">
        <v>99</v>
      </c>
      <c r="M60" s="1" t="s">
        <v>281</v>
      </c>
      <c r="N60" s="1" t="s">
        <v>290</v>
      </c>
    </row>
    <row r="61" spans="1:14" ht="60.75">
      <c r="A61">
        <f t="shared" si="0"/>
        <v>60</v>
      </c>
      <c r="B61" s="1" t="s">
        <v>65</v>
      </c>
      <c r="C61" t="s">
        <v>15</v>
      </c>
      <c r="D61" t="s">
        <v>66</v>
      </c>
      <c r="E61" t="s">
        <v>258</v>
      </c>
      <c r="F61" s="1" t="s">
        <v>30</v>
      </c>
      <c r="G61" t="s">
        <v>19</v>
      </c>
      <c r="H61" t="s">
        <v>41</v>
      </c>
      <c r="I61" s="1" t="s">
        <v>291</v>
      </c>
      <c r="J61" s="1" t="s">
        <v>292</v>
      </c>
      <c r="K61" t="s">
        <v>91</v>
      </c>
      <c r="L61" s="1" t="s">
        <v>223</v>
      </c>
      <c r="M61" s="1" t="s">
        <v>293</v>
      </c>
      <c r="N61" s="1" t="s">
        <v>294</v>
      </c>
    </row>
    <row r="62" spans="1:14" ht="106.5">
      <c r="A62">
        <f t="shared" si="0"/>
        <v>61</v>
      </c>
      <c r="B62" s="1" t="s">
        <v>295</v>
      </c>
      <c r="C62" t="s">
        <v>15</v>
      </c>
      <c r="D62" t="s">
        <v>16</v>
      </c>
      <c r="E62" t="s">
        <v>296</v>
      </c>
      <c r="F62" t="s">
        <v>297</v>
      </c>
      <c r="G62" t="s">
        <v>19</v>
      </c>
      <c r="H62" t="s">
        <v>298</v>
      </c>
      <c r="I62" s="1" t="s">
        <v>299</v>
      </c>
      <c r="J62" t="s">
        <v>32</v>
      </c>
      <c r="K62" t="s">
        <v>23</v>
      </c>
      <c r="L62" s="1" t="s">
        <v>24</v>
      </c>
      <c r="M62" s="1" t="s">
        <v>300</v>
      </c>
      <c r="N62" s="1" t="s">
        <v>301</v>
      </c>
    </row>
    <row r="63" spans="1:14" ht="106.5">
      <c r="A63">
        <f t="shared" si="0"/>
        <v>62</v>
      </c>
      <c r="B63" s="1" t="s">
        <v>302</v>
      </c>
      <c r="C63" t="s">
        <v>15</v>
      </c>
      <c r="D63" t="s">
        <v>38</v>
      </c>
      <c r="E63" t="s">
        <v>258</v>
      </c>
      <c r="F63" t="s">
        <v>30</v>
      </c>
      <c r="G63" t="s">
        <v>19</v>
      </c>
      <c r="H63" t="s">
        <v>303</v>
      </c>
      <c r="I63" s="1" t="s">
        <v>299</v>
      </c>
      <c r="J63" t="s">
        <v>304</v>
      </c>
      <c r="K63" t="s">
        <v>91</v>
      </c>
      <c r="L63" s="1" t="s">
        <v>305</v>
      </c>
      <c r="M63" s="1" t="s">
        <v>306</v>
      </c>
      <c r="N63" s="1" t="s">
        <v>307</v>
      </c>
    </row>
    <row r="64" spans="1:14" ht="76.5">
      <c r="A64">
        <f t="shared" si="0"/>
        <v>63</v>
      </c>
      <c r="B64" s="1" t="s">
        <v>308</v>
      </c>
      <c r="C64" t="s">
        <v>15</v>
      </c>
      <c r="D64" t="s">
        <v>112</v>
      </c>
      <c r="E64" t="s">
        <v>258</v>
      </c>
      <c r="F64" t="s">
        <v>30</v>
      </c>
      <c r="G64" t="s">
        <v>40</v>
      </c>
      <c r="H64" t="s">
        <v>303</v>
      </c>
      <c r="I64" s="1" t="s">
        <v>80</v>
      </c>
      <c r="J64" t="s">
        <v>32</v>
      </c>
      <c r="K64" t="s">
        <v>81</v>
      </c>
      <c r="L64" s="1" t="s">
        <v>215</v>
      </c>
      <c r="M64" s="1" t="s">
        <v>216</v>
      </c>
      <c r="N64" s="1" t="s">
        <v>309</v>
      </c>
    </row>
    <row r="65" spans="1:14" ht="45.75">
      <c r="A65">
        <f t="shared" si="0"/>
        <v>64</v>
      </c>
      <c r="B65" s="1" t="s">
        <v>310</v>
      </c>
      <c r="C65" t="s">
        <v>15</v>
      </c>
      <c r="D65" t="s">
        <v>102</v>
      </c>
      <c r="E65" t="s">
        <v>258</v>
      </c>
      <c r="F65" t="s">
        <v>30</v>
      </c>
      <c r="G65" t="s">
        <v>19</v>
      </c>
      <c r="H65" t="s">
        <v>41</v>
      </c>
      <c r="I65" s="1" t="s">
        <v>311</v>
      </c>
      <c r="J65" t="s">
        <v>32</v>
      </c>
      <c r="K65" t="s">
        <v>81</v>
      </c>
      <c r="L65" s="1" t="s">
        <v>215</v>
      </c>
      <c r="M65" s="1" t="s">
        <v>216</v>
      </c>
      <c r="N65" s="1" t="s">
        <v>312</v>
      </c>
    </row>
    <row r="66" spans="1:14" ht="106.5">
      <c r="A66">
        <f t="shared" si="0"/>
        <v>65</v>
      </c>
      <c r="B66" s="1" t="s">
        <v>313</v>
      </c>
      <c r="C66" t="s">
        <v>15</v>
      </c>
      <c r="D66" t="s">
        <v>179</v>
      </c>
      <c r="E66" t="s">
        <v>29</v>
      </c>
      <c r="F66" t="s">
        <v>30</v>
      </c>
      <c r="G66" t="s">
        <v>40</v>
      </c>
      <c r="H66" t="s">
        <v>303</v>
      </c>
      <c r="I66" s="1" t="s">
        <v>299</v>
      </c>
      <c r="J66" t="s">
        <v>222</v>
      </c>
      <c r="K66" t="s">
        <v>91</v>
      </c>
      <c r="L66" s="1" t="s">
        <v>314</v>
      </c>
      <c r="M66" s="1" t="s">
        <v>306</v>
      </c>
      <c r="N66" s="1" t="s">
        <v>315</v>
      </c>
    </row>
    <row r="67" spans="1:14" ht="106.5">
      <c r="A67">
        <f t="shared" ref="A67:A130" si="1">ROW()-1</f>
        <v>66</v>
      </c>
      <c r="B67" s="1" t="s">
        <v>316</v>
      </c>
      <c r="C67" t="s">
        <v>15</v>
      </c>
      <c r="D67" t="s">
        <v>66</v>
      </c>
      <c r="E67" t="s">
        <v>29</v>
      </c>
      <c r="F67" t="s">
        <v>30</v>
      </c>
      <c r="G67" t="s">
        <v>19</v>
      </c>
      <c r="H67" t="s">
        <v>303</v>
      </c>
      <c r="I67" s="1" t="s">
        <v>299</v>
      </c>
      <c r="J67" t="s">
        <v>222</v>
      </c>
      <c r="K67" t="s">
        <v>91</v>
      </c>
      <c r="L67" s="1" t="s">
        <v>314</v>
      </c>
      <c r="M67" s="1" t="s">
        <v>306</v>
      </c>
      <c r="N67" s="1" t="s">
        <v>317</v>
      </c>
    </row>
    <row r="68" spans="1:14" ht="60.75">
      <c r="A68">
        <f t="shared" si="1"/>
        <v>67</v>
      </c>
      <c r="B68" s="1" t="s">
        <v>318</v>
      </c>
      <c r="C68" t="s">
        <v>15</v>
      </c>
      <c r="D68" t="s">
        <v>86</v>
      </c>
      <c r="E68" t="s">
        <v>29</v>
      </c>
      <c r="F68" t="s">
        <v>30</v>
      </c>
      <c r="G68" t="s">
        <v>19</v>
      </c>
      <c r="H68" t="s">
        <v>319</v>
      </c>
      <c r="I68" s="1" t="s">
        <v>299</v>
      </c>
      <c r="J68" t="s">
        <v>32</v>
      </c>
      <c r="K68" t="s">
        <v>33</v>
      </c>
      <c r="L68" s="1" t="s">
        <v>34</v>
      </c>
      <c r="M68" s="1" t="s">
        <v>250</v>
      </c>
      <c r="N68" s="1" t="s">
        <v>320</v>
      </c>
    </row>
    <row r="69" spans="1:14" ht="60.75">
      <c r="A69">
        <f t="shared" si="1"/>
        <v>68</v>
      </c>
      <c r="B69" s="1" t="s">
        <v>321</v>
      </c>
      <c r="C69" t="s">
        <v>15</v>
      </c>
      <c r="D69" t="s">
        <v>66</v>
      </c>
      <c r="E69" t="s">
        <v>258</v>
      </c>
      <c r="F69" t="s">
        <v>30</v>
      </c>
      <c r="G69" t="s">
        <v>272</v>
      </c>
      <c r="H69" t="s">
        <v>41</v>
      </c>
      <c r="I69" s="1" t="s">
        <v>245</v>
      </c>
      <c r="J69" t="s">
        <v>246</v>
      </c>
      <c r="K69" t="s">
        <v>53</v>
      </c>
      <c r="L69" s="1" t="s">
        <v>322</v>
      </c>
      <c r="M69" s="1" t="s">
        <v>248</v>
      </c>
      <c r="N69" s="1" t="s">
        <v>323</v>
      </c>
    </row>
    <row r="70" spans="1:14" ht="106.5">
      <c r="A70">
        <f t="shared" si="1"/>
        <v>69</v>
      </c>
      <c r="B70" s="1" t="s">
        <v>324</v>
      </c>
      <c r="C70" t="s">
        <v>15</v>
      </c>
      <c r="D70" t="s">
        <v>66</v>
      </c>
      <c r="E70" t="s">
        <v>258</v>
      </c>
      <c r="F70" t="s">
        <v>30</v>
      </c>
      <c r="G70" t="s">
        <v>19</v>
      </c>
      <c r="H70" t="s">
        <v>303</v>
      </c>
      <c r="I70" s="1" t="s">
        <v>299</v>
      </c>
      <c r="J70" t="s">
        <v>304</v>
      </c>
      <c r="K70" t="s">
        <v>91</v>
      </c>
      <c r="L70" s="1" t="s">
        <v>305</v>
      </c>
      <c r="M70" s="1" t="s">
        <v>306</v>
      </c>
      <c r="N70" s="1" t="s">
        <v>325</v>
      </c>
    </row>
    <row r="71" spans="1:14" ht="60.75">
      <c r="A71">
        <f t="shared" si="1"/>
        <v>70</v>
      </c>
      <c r="B71" s="1" t="s">
        <v>326</v>
      </c>
      <c r="C71" t="s">
        <v>15</v>
      </c>
      <c r="D71" t="s">
        <v>327</v>
      </c>
      <c r="E71" t="s">
        <v>258</v>
      </c>
      <c r="F71" t="s">
        <v>30</v>
      </c>
      <c r="G71" t="s">
        <v>40</v>
      </c>
      <c r="H71" t="s">
        <v>319</v>
      </c>
      <c r="I71" s="1" t="s">
        <v>299</v>
      </c>
      <c r="J71" t="s">
        <v>32</v>
      </c>
      <c r="K71" t="s">
        <v>33</v>
      </c>
      <c r="L71" s="1" t="s">
        <v>34</v>
      </c>
      <c r="M71" s="1" t="s">
        <v>250</v>
      </c>
      <c r="N71" s="1" t="s">
        <v>328</v>
      </c>
    </row>
    <row r="72" spans="1:14" ht="60.75">
      <c r="A72">
        <f t="shared" si="1"/>
        <v>71</v>
      </c>
      <c r="B72" s="1" t="s">
        <v>329</v>
      </c>
      <c r="C72" t="s">
        <v>15</v>
      </c>
      <c r="D72" t="s">
        <v>179</v>
      </c>
      <c r="E72" t="s">
        <v>258</v>
      </c>
      <c r="F72" t="s">
        <v>30</v>
      </c>
      <c r="G72" t="s">
        <v>272</v>
      </c>
      <c r="H72" t="s">
        <v>41</v>
      </c>
      <c r="I72" s="1" t="s">
        <v>245</v>
      </c>
      <c r="J72" t="s">
        <v>246</v>
      </c>
      <c r="K72" t="s">
        <v>53</v>
      </c>
      <c r="L72" s="1" t="s">
        <v>322</v>
      </c>
      <c r="M72" s="1" t="s">
        <v>248</v>
      </c>
      <c r="N72" s="1" t="s">
        <v>323</v>
      </c>
    </row>
    <row r="73" spans="1:14" ht="106.5">
      <c r="A73">
        <f t="shared" si="1"/>
        <v>72</v>
      </c>
      <c r="B73" s="1" t="s">
        <v>330</v>
      </c>
      <c r="C73" t="s">
        <v>15</v>
      </c>
      <c r="D73" t="s">
        <v>38</v>
      </c>
      <c r="E73" t="s">
        <v>258</v>
      </c>
      <c r="F73" t="s">
        <v>30</v>
      </c>
      <c r="G73" t="s">
        <v>40</v>
      </c>
      <c r="H73" t="s">
        <v>303</v>
      </c>
      <c r="I73" s="1" t="s">
        <v>299</v>
      </c>
      <c r="J73" t="s">
        <v>222</v>
      </c>
      <c r="K73" t="s">
        <v>91</v>
      </c>
      <c r="L73" s="1" t="s">
        <v>305</v>
      </c>
      <c r="M73" s="1" t="s">
        <v>306</v>
      </c>
      <c r="N73" s="1" t="s">
        <v>331</v>
      </c>
    </row>
    <row r="74" spans="1:14" ht="76.5">
      <c r="A74">
        <f t="shared" si="1"/>
        <v>73</v>
      </c>
      <c r="B74" s="1" t="s">
        <v>332</v>
      </c>
      <c r="C74" t="s">
        <v>15</v>
      </c>
      <c r="D74" t="s">
        <v>131</v>
      </c>
      <c r="E74" t="s">
        <v>258</v>
      </c>
      <c r="F74" t="s">
        <v>259</v>
      </c>
      <c r="G74" t="s">
        <v>272</v>
      </c>
      <c r="H74" t="s">
        <v>41</v>
      </c>
      <c r="I74" s="1" t="s">
        <v>333</v>
      </c>
      <c r="J74" t="s">
        <v>32</v>
      </c>
      <c r="K74" t="s">
        <v>98</v>
      </c>
      <c r="L74" s="1" t="s">
        <v>99</v>
      </c>
      <c r="M74" s="1" t="s">
        <v>281</v>
      </c>
      <c r="N74" s="1" t="s">
        <v>334</v>
      </c>
    </row>
    <row r="75" spans="1:14" ht="106.5">
      <c r="A75">
        <f t="shared" si="1"/>
        <v>74</v>
      </c>
      <c r="B75" s="1" t="s">
        <v>335</v>
      </c>
      <c r="C75" t="s">
        <v>15</v>
      </c>
      <c r="D75" t="s">
        <v>179</v>
      </c>
      <c r="E75" t="s">
        <v>258</v>
      </c>
      <c r="F75" t="s">
        <v>30</v>
      </c>
      <c r="G75" t="s">
        <v>19</v>
      </c>
      <c r="H75" t="s">
        <v>303</v>
      </c>
      <c r="I75" s="1" t="s">
        <v>299</v>
      </c>
      <c r="J75" t="s">
        <v>222</v>
      </c>
      <c r="K75" t="s">
        <v>91</v>
      </c>
      <c r="L75" s="1" t="s">
        <v>314</v>
      </c>
      <c r="M75" s="1" t="s">
        <v>306</v>
      </c>
      <c r="N75" s="1" t="s">
        <v>336</v>
      </c>
    </row>
    <row r="76" spans="1:14" ht="60.75">
      <c r="A76">
        <f t="shared" si="1"/>
        <v>75</v>
      </c>
      <c r="B76" s="1" t="s">
        <v>337</v>
      </c>
      <c r="C76" t="s">
        <v>15</v>
      </c>
      <c r="D76" t="s">
        <v>86</v>
      </c>
      <c r="E76" t="s">
        <v>29</v>
      </c>
      <c r="F76" t="s">
        <v>299</v>
      </c>
      <c r="G76" t="s">
        <v>19</v>
      </c>
      <c r="H76" t="s">
        <v>41</v>
      </c>
      <c r="I76" s="1" t="s">
        <v>299</v>
      </c>
      <c r="J76" t="s">
        <v>299</v>
      </c>
      <c r="K76" t="s">
        <v>338</v>
      </c>
      <c r="L76" s="1" t="s">
        <v>339</v>
      </c>
      <c r="M76" s="1" t="s">
        <v>128</v>
      </c>
      <c r="N76" s="1" t="s">
        <v>340</v>
      </c>
    </row>
    <row r="77" spans="1:14" ht="76.5">
      <c r="A77">
        <f t="shared" si="1"/>
        <v>76</v>
      </c>
      <c r="B77" s="1" t="s">
        <v>341</v>
      </c>
      <c r="C77" t="s">
        <v>15</v>
      </c>
      <c r="D77" t="s">
        <v>163</v>
      </c>
      <c r="E77" t="s">
        <v>258</v>
      </c>
      <c r="F77" t="s">
        <v>30</v>
      </c>
      <c r="G77" t="s">
        <v>342</v>
      </c>
      <c r="H77" t="s">
        <v>303</v>
      </c>
      <c r="I77" t="s">
        <v>311</v>
      </c>
      <c r="J77" s="1" t="s">
        <v>277</v>
      </c>
      <c r="K77" t="s">
        <v>81</v>
      </c>
      <c r="L77" s="1" t="s">
        <v>215</v>
      </c>
      <c r="M77" s="1" t="s">
        <v>216</v>
      </c>
      <c r="N77" s="1" t="s">
        <v>343</v>
      </c>
    </row>
    <row r="78" spans="1:14" ht="76.5">
      <c r="A78">
        <f t="shared" si="1"/>
        <v>77</v>
      </c>
      <c r="B78" s="1" t="s">
        <v>344</v>
      </c>
      <c r="C78" t="s">
        <v>15</v>
      </c>
      <c r="D78" t="s">
        <v>345</v>
      </c>
      <c r="E78" t="s">
        <v>29</v>
      </c>
      <c r="F78" t="s">
        <v>30</v>
      </c>
      <c r="G78" t="s">
        <v>346</v>
      </c>
      <c r="H78" t="s">
        <v>303</v>
      </c>
      <c r="I78" t="s">
        <v>347</v>
      </c>
      <c r="J78" s="1" t="s">
        <v>277</v>
      </c>
      <c r="K78" t="s">
        <v>81</v>
      </c>
      <c r="L78" s="1" t="s">
        <v>215</v>
      </c>
      <c r="M78" s="1" t="s">
        <v>216</v>
      </c>
      <c r="N78" s="1" t="s">
        <v>348</v>
      </c>
    </row>
    <row r="79" spans="1:14" ht="76.5">
      <c r="A79">
        <f t="shared" si="1"/>
        <v>78</v>
      </c>
      <c r="B79" s="1" t="s">
        <v>349</v>
      </c>
      <c r="C79" t="s">
        <v>15</v>
      </c>
      <c r="D79" t="s">
        <v>345</v>
      </c>
      <c r="E79" t="s">
        <v>258</v>
      </c>
      <c r="F79" t="s">
        <v>30</v>
      </c>
      <c r="G79" t="s">
        <v>342</v>
      </c>
      <c r="H79" t="s">
        <v>303</v>
      </c>
      <c r="I79" t="s">
        <v>311</v>
      </c>
      <c r="J79" s="1" t="s">
        <v>277</v>
      </c>
      <c r="K79" t="s">
        <v>81</v>
      </c>
      <c r="L79" s="1" t="s">
        <v>215</v>
      </c>
      <c r="M79" s="1" t="s">
        <v>216</v>
      </c>
      <c r="N79" s="1" t="s">
        <v>350</v>
      </c>
    </row>
    <row r="80" spans="1:14" ht="76.5">
      <c r="A80">
        <f t="shared" si="1"/>
        <v>79</v>
      </c>
      <c r="B80" s="1" t="s">
        <v>351</v>
      </c>
      <c r="C80" t="s">
        <v>15</v>
      </c>
      <c r="D80" t="s">
        <v>86</v>
      </c>
      <c r="E80" t="s">
        <v>258</v>
      </c>
      <c r="F80" t="s">
        <v>30</v>
      </c>
      <c r="G80" t="s">
        <v>346</v>
      </c>
      <c r="H80" t="s">
        <v>319</v>
      </c>
      <c r="I80" t="s">
        <v>347</v>
      </c>
      <c r="J80" s="1" t="s">
        <v>352</v>
      </c>
      <c r="K80" t="s">
        <v>33</v>
      </c>
      <c r="L80" s="1" t="s">
        <v>34</v>
      </c>
      <c r="M80" s="1" t="s">
        <v>188</v>
      </c>
      <c r="N80" s="1" t="s">
        <v>353</v>
      </c>
    </row>
    <row r="81" spans="1:14" ht="121.5">
      <c r="A81">
        <f t="shared" si="1"/>
        <v>80</v>
      </c>
      <c r="B81" s="1" t="s">
        <v>354</v>
      </c>
      <c r="C81" t="s">
        <v>15</v>
      </c>
      <c r="D81" t="s">
        <v>179</v>
      </c>
      <c r="E81" t="s">
        <v>258</v>
      </c>
      <c r="F81" t="s">
        <v>30</v>
      </c>
      <c r="G81" t="s">
        <v>346</v>
      </c>
      <c r="H81" t="s">
        <v>303</v>
      </c>
      <c r="I81" t="s">
        <v>355</v>
      </c>
      <c r="J81" s="1" t="s">
        <v>356</v>
      </c>
      <c r="K81" t="s">
        <v>91</v>
      </c>
      <c r="L81" s="1" t="s">
        <v>207</v>
      </c>
      <c r="M81" s="1" t="s">
        <v>208</v>
      </c>
      <c r="N81" s="1" t="s">
        <v>357</v>
      </c>
    </row>
    <row r="82" spans="1:14" ht="91.5">
      <c r="A82">
        <f t="shared" si="1"/>
        <v>81</v>
      </c>
      <c r="B82" s="1" t="s">
        <v>358</v>
      </c>
      <c r="C82" t="s">
        <v>15</v>
      </c>
      <c r="D82" t="s">
        <v>16</v>
      </c>
      <c r="E82" t="s">
        <v>29</v>
      </c>
      <c r="F82" t="s">
        <v>191</v>
      </c>
      <c r="G82" t="s">
        <v>19</v>
      </c>
      <c r="H82" t="s">
        <v>20</v>
      </c>
      <c r="I82" t="s">
        <v>347</v>
      </c>
      <c r="J82" s="1" t="s">
        <v>359</v>
      </c>
      <c r="K82" t="s">
        <v>23</v>
      </c>
      <c r="L82" s="1" t="s">
        <v>24</v>
      </c>
      <c r="M82" s="1" t="s">
        <v>360</v>
      </c>
      <c r="N82" s="1" t="s">
        <v>361</v>
      </c>
    </row>
    <row r="83" spans="1:14" ht="106.5">
      <c r="A83">
        <f t="shared" si="1"/>
        <v>82</v>
      </c>
      <c r="B83" s="1" t="s">
        <v>362</v>
      </c>
      <c r="C83" t="s">
        <v>15</v>
      </c>
      <c r="D83" t="s">
        <v>49</v>
      </c>
      <c r="E83" t="s">
        <v>258</v>
      </c>
      <c r="F83" t="s">
        <v>30</v>
      </c>
      <c r="G83" t="s">
        <v>363</v>
      </c>
      <c r="H83" t="s">
        <v>303</v>
      </c>
      <c r="I83" t="s">
        <v>269</v>
      </c>
      <c r="J83" s="1" t="s">
        <v>364</v>
      </c>
      <c r="K83" t="s">
        <v>91</v>
      </c>
      <c r="L83" s="1" t="s">
        <v>223</v>
      </c>
      <c r="M83" s="1" t="s">
        <v>208</v>
      </c>
      <c r="N83" s="1" t="s">
        <v>365</v>
      </c>
    </row>
    <row r="84" spans="1:14" ht="76.5">
      <c r="A84">
        <f t="shared" si="1"/>
        <v>83</v>
      </c>
      <c r="B84" s="1" t="s">
        <v>366</v>
      </c>
      <c r="C84" t="s">
        <v>15</v>
      </c>
      <c r="D84" t="s">
        <v>79</v>
      </c>
      <c r="E84" t="s">
        <v>29</v>
      </c>
      <c r="F84" t="s">
        <v>30</v>
      </c>
      <c r="G84" t="s">
        <v>342</v>
      </c>
      <c r="H84" t="s">
        <v>303</v>
      </c>
      <c r="I84" t="s">
        <v>311</v>
      </c>
      <c r="J84" s="1" t="s">
        <v>277</v>
      </c>
      <c r="K84" t="s">
        <v>81</v>
      </c>
      <c r="L84" s="1" t="s">
        <v>215</v>
      </c>
      <c r="M84" s="1" t="s">
        <v>216</v>
      </c>
      <c r="N84" s="1" t="s">
        <v>367</v>
      </c>
    </row>
    <row r="85" spans="1:14" ht="91.5">
      <c r="A85">
        <f t="shared" si="1"/>
        <v>84</v>
      </c>
      <c r="B85" s="1" t="s">
        <v>368</v>
      </c>
      <c r="C85" t="s">
        <v>15</v>
      </c>
      <c r="D85" t="s">
        <v>112</v>
      </c>
      <c r="E85" t="s">
        <v>29</v>
      </c>
      <c r="F85" t="s">
        <v>30</v>
      </c>
      <c r="G85" t="s">
        <v>346</v>
      </c>
      <c r="H85" t="s">
        <v>303</v>
      </c>
      <c r="I85" t="s">
        <v>276</v>
      </c>
      <c r="J85" s="1" t="s">
        <v>277</v>
      </c>
      <c r="K85" t="s">
        <v>81</v>
      </c>
      <c r="L85" s="1" t="s">
        <v>215</v>
      </c>
      <c r="M85" s="1" t="s">
        <v>216</v>
      </c>
      <c r="N85" s="1" t="s">
        <v>369</v>
      </c>
    </row>
    <row r="86" spans="1:14" ht="76.5">
      <c r="A86">
        <f t="shared" si="1"/>
        <v>85</v>
      </c>
      <c r="B86" s="1" t="s">
        <v>370</v>
      </c>
      <c r="C86" t="s">
        <v>15</v>
      </c>
      <c r="D86" t="s">
        <v>327</v>
      </c>
      <c r="E86" t="s">
        <v>29</v>
      </c>
      <c r="F86" t="s">
        <v>30</v>
      </c>
      <c r="G86" t="s">
        <v>346</v>
      </c>
      <c r="H86" t="s">
        <v>319</v>
      </c>
      <c r="I86" t="s">
        <v>347</v>
      </c>
      <c r="J86" s="1" t="s">
        <v>352</v>
      </c>
      <c r="K86" t="s">
        <v>33</v>
      </c>
      <c r="L86" s="1" t="s">
        <v>34</v>
      </c>
      <c r="M86" s="1" t="s">
        <v>188</v>
      </c>
      <c r="N86" s="1" t="s">
        <v>371</v>
      </c>
    </row>
    <row r="87" spans="1:14" ht="121.5">
      <c r="A87">
        <f t="shared" si="1"/>
        <v>86</v>
      </c>
      <c r="B87" s="1" t="s">
        <v>372</v>
      </c>
      <c r="C87" t="s">
        <v>15</v>
      </c>
      <c r="D87" t="s">
        <v>49</v>
      </c>
      <c r="E87" t="s">
        <v>258</v>
      </c>
      <c r="F87" t="s">
        <v>30</v>
      </c>
      <c r="G87" t="s">
        <v>346</v>
      </c>
      <c r="H87" t="s">
        <v>303</v>
      </c>
      <c r="I87" t="s">
        <v>355</v>
      </c>
      <c r="J87" s="1" t="s">
        <v>356</v>
      </c>
      <c r="K87" t="s">
        <v>91</v>
      </c>
      <c r="L87" s="1" t="s">
        <v>207</v>
      </c>
      <c r="M87" s="1" t="s">
        <v>208</v>
      </c>
      <c r="N87" s="1" t="s">
        <v>373</v>
      </c>
    </row>
    <row r="88" spans="1:14" ht="121.5">
      <c r="A88">
        <f t="shared" si="1"/>
        <v>87</v>
      </c>
      <c r="B88" s="1" t="s">
        <v>374</v>
      </c>
      <c r="C88" t="s">
        <v>15</v>
      </c>
      <c r="D88" t="s">
        <v>38</v>
      </c>
      <c r="E88" t="s">
        <v>258</v>
      </c>
      <c r="F88" t="s">
        <v>30</v>
      </c>
      <c r="G88" t="s">
        <v>363</v>
      </c>
      <c r="H88" t="s">
        <v>303</v>
      </c>
      <c r="I88" t="s">
        <v>375</v>
      </c>
      <c r="J88" s="1" t="s">
        <v>364</v>
      </c>
      <c r="K88" t="s">
        <v>91</v>
      </c>
      <c r="L88" s="1" t="s">
        <v>223</v>
      </c>
      <c r="M88" s="1" t="s">
        <v>208</v>
      </c>
      <c r="N88" s="1" t="s">
        <v>376</v>
      </c>
    </row>
    <row r="89" spans="1:14" ht="60.75">
      <c r="A89">
        <f t="shared" si="1"/>
        <v>88</v>
      </c>
      <c r="B89" s="1" t="s">
        <v>377</v>
      </c>
      <c r="C89" t="s">
        <v>15</v>
      </c>
      <c r="D89" t="s">
        <v>285</v>
      </c>
      <c r="E89" t="s">
        <v>29</v>
      </c>
      <c r="F89" t="s">
        <v>30</v>
      </c>
      <c r="G89" t="s">
        <v>346</v>
      </c>
      <c r="H89" t="s">
        <v>41</v>
      </c>
      <c r="I89" t="s">
        <v>276</v>
      </c>
      <c r="J89" s="1" t="s">
        <v>277</v>
      </c>
      <c r="K89" t="s">
        <v>81</v>
      </c>
      <c r="L89" s="1" t="s">
        <v>215</v>
      </c>
      <c r="M89" s="1" t="s">
        <v>216</v>
      </c>
      <c r="N89" s="1" t="s">
        <v>378</v>
      </c>
    </row>
    <row r="90" spans="1:14" ht="76.5">
      <c r="A90">
        <f t="shared" si="1"/>
        <v>89</v>
      </c>
      <c r="B90" s="1" t="s">
        <v>379</v>
      </c>
      <c r="C90" t="s">
        <v>15</v>
      </c>
      <c r="D90" t="s">
        <v>96</v>
      </c>
      <c r="E90" t="s">
        <v>29</v>
      </c>
      <c r="F90" t="s">
        <v>30</v>
      </c>
      <c r="G90" t="s">
        <v>272</v>
      </c>
      <c r="H90" t="s">
        <v>41</v>
      </c>
      <c r="I90" t="s">
        <v>245</v>
      </c>
      <c r="J90" s="1" t="s">
        <v>380</v>
      </c>
      <c r="K90" t="s">
        <v>53</v>
      </c>
      <c r="L90" s="1" t="s">
        <v>322</v>
      </c>
      <c r="M90" s="1" t="s">
        <v>248</v>
      </c>
      <c r="N90" s="1" t="s">
        <v>381</v>
      </c>
    </row>
    <row r="91" spans="1:14" ht="91.5">
      <c r="A91">
        <f t="shared" si="1"/>
        <v>90</v>
      </c>
      <c r="B91" s="1" t="s">
        <v>382</v>
      </c>
      <c r="C91" t="s">
        <v>15</v>
      </c>
      <c r="D91" t="s">
        <v>16</v>
      </c>
      <c r="E91" t="s">
        <v>29</v>
      </c>
      <c r="F91" t="s">
        <v>191</v>
      </c>
      <c r="G91" t="s">
        <v>19</v>
      </c>
      <c r="H91" t="s">
        <v>383</v>
      </c>
      <c r="I91" t="s">
        <v>347</v>
      </c>
      <c r="J91" s="1" t="s">
        <v>359</v>
      </c>
      <c r="K91" t="s">
        <v>23</v>
      </c>
      <c r="L91" s="1" t="s">
        <v>24</v>
      </c>
      <c r="M91" s="1" t="s">
        <v>360</v>
      </c>
      <c r="N91" s="1" t="s">
        <v>384</v>
      </c>
    </row>
    <row r="92" spans="1:14" ht="60.75">
      <c r="A92">
        <f t="shared" si="1"/>
        <v>91</v>
      </c>
      <c r="B92" s="1" t="s">
        <v>284</v>
      </c>
      <c r="C92" t="s">
        <v>15</v>
      </c>
      <c r="D92" t="s">
        <v>285</v>
      </c>
      <c r="E92" t="s">
        <v>59</v>
      </c>
      <c r="F92" t="s">
        <v>30</v>
      </c>
      <c r="G92" t="s">
        <v>40</v>
      </c>
      <c r="H92" t="s">
        <v>41</v>
      </c>
      <c r="I92" s="1" t="s">
        <v>59</v>
      </c>
      <c r="J92" s="1" t="s">
        <v>32</v>
      </c>
      <c r="K92" t="s">
        <v>81</v>
      </c>
      <c r="L92" s="1" t="s">
        <v>215</v>
      </c>
      <c r="M92" s="1" t="s">
        <v>216</v>
      </c>
      <c r="N92" s="1" t="s">
        <v>385</v>
      </c>
    </row>
    <row r="93" spans="1:14" ht="91.5">
      <c r="A93">
        <f t="shared" si="1"/>
        <v>92</v>
      </c>
      <c r="B93" s="1" t="s">
        <v>386</v>
      </c>
      <c r="C93" t="s">
        <v>15</v>
      </c>
      <c r="D93" t="s">
        <v>168</v>
      </c>
      <c r="E93" t="s">
        <v>29</v>
      </c>
      <c r="F93" t="s">
        <v>191</v>
      </c>
      <c r="G93" t="s">
        <v>19</v>
      </c>
      <c r="H93" t="s">
        <v>387</v>
      </c>
      <c r="I93" s="1" t="s">
        <v>388</v>
      </c>
      <c r="J93" s="1" t="s">
        <v>32</v>
      </c>
      <c r="K93" t="s">
        <v>23</v>
      </c>
      <c r="L93" s="1" t="s">
        <v>24</v>
      </c>
      <c r="M93" s="1" t="s">
        <v>389</v>
      </c>
      <c r="N93" s="1" t="s">
        <v>390</v>
      </c>
    </row>
    <row r="94" spans="1:14" ht="106.5">
      <c r="A94">
        <f t="shared" si="1"/>
        <v>93</v>
      </c>
      <c r="B94" s="1" t="s">
        <v>391</v>
      </c>
      <c r="C94" t="s">
        <v>15</v>
      </c>
      <c r="D94" t="s">
        <v>49</v>
      </c>
      <c r="E94" t="s">
        <v>59</v>
      </c>
      <c r="F94" t="s">
        <v>30</v>
      </c>
      <c r="G94" t="s">
        <v>268</v>
      </c>
      <c r="H94" t="s">
        <v>41</v>
      </c>
      <c r="I94" s="1" t="s">
        <v>388</v>
      </c>
      <c r="J94" s="1" t="s">
        <v>222</v>
      </c>
      <c r="K94" t="s">
        <v>91</v>
      </c>
      <c r="L94" s="1" t="s">
        <v>223</v>
      </c>
      <c r="M94" s="1" t="s">
        <v>392</v>
      </c>
      <c r="N94" s="1" t="s">
        <v>393</v>
      </c>
    </row>
    <row r="95" spans="1:14" ht="121.5">
      <c r="A95">
        <f t="shared" si="1"/>
        <v>94</v>
      </c>
      <c r="B95" s="1" t="s">
        <v>394</v>
      </c>
      <c r="C95" t="s">
        <v>15</v>
      </c>
      <c r="D95" t="s">
        <v>395</v>
      </c>
      <c r="E95" t="s">
        <v>59</v>
      </c>
      <c r="F95" t="s">
        <v>259</v>
      </c>
      <c r="G95" t="s">
        <v>272</v>
      </c>
      <c r="H95" t="s">
        <v>41</v>
      </c>
      <c r="I95" s="1" t="s">
        <v>396</v>
      </c>
      <c r="J95" s="1" t="s">
        <v>32</v>
      </c>
      <c r="K95" t="s">
        <v>98</v>
      </c>
      <c r="L95" s="1" t="s">
        <v>99</v>
      </c>
      <c r="M95" s="1" t="s">
        <v>281</v>
      </c>
      <c r="N95" s="1" t="s">
        <v>397</v>
      </c>
    </row>
    <row r="96" spans="1:14" ht="121.5">
      <c r="A96">
        <f t="shared" si="1"/>
        <v>95</v>
      </c>
      <c r="B96" s="1" t="s">
        <v>398</v>
      </c>
      <c r="C96" t="s">
        <v>15</v>
      </c>
      <c r="D96" t="s">
        <v>102</v>
      </c>
      <c r="E96" t="s">
        <v>29</v>
      </c>
      <c r="F96" t="s">
        <v>30</v>
      </c>
      <c r="G96" t="s">
        <v>19</v>
      </c>
      <c r="H96" t="s">
        <v>41</v>
      </c>
      <c r="I96" s="1" t="s">
        <v>269</v>
      </c>
      <c r="J96" s="1" t="s">
        <v>222</v>
      </c>
      <c r="K96" t="s">
        <v>91</v>
      </c>
      <c r="L96" s="1" t="s">
        <v>223</v>
      </c>
      <c r="M96" s="1" t="s">
        <v>392</v>
      </c>
      <c r="N96" s="1" t="s">
        <v>399</v>
      </c>
    </row>
    <row r="97" spans="1:14" ht="121.5">
      <c r="A97">
        <f t="shared" si="1"/>
        <v>96</v>
      </c>
      <c r="B97" s="1" t="s">
        <v>400</v>
      </c>
      <c r="C97" t="s">
        <v>15</v>
      </c>
      <c r="D97" t="s">
        <v>49</v>
      </c>
      <c r="E97" t="s">
        <v>59</v>
      </c>
      <c r="F97" t="s">
        <v>30</v>
      </c>
      <c r="G97" t="s">
        <v>268</v>
      </c>
      <c r="H97" t="s">
        <v>41</v>
      </c>
      <c r="I97" s="1" t="s">
        <v>388</v>
      </c>
      <c r="J97" s="1" t="s">
        <v>356</v>
      </c>
      <c r="K97" t="s">
        <v>91</v>
      </c>
      <c r="L97" s="1" t="s">
        <v>207</v>
      </c>
      <c r="M97" s="1" t="s">
        <v>392</v>
      </c>
      <c r="N97" s="1" t="s">
        <v>401</v>
      </c>
    </row>
    <row r="98" spans="1:14" ht="91.5">
      <c r="A98">
        <f t="shared" si="1"/>
        <v>97</v>
      </c>
      <c r="B98" s="1" t="s">
        <v>402</v>
      </c>
      <c r="C98" t="s">
        <v>15</v>
      </c>
      <c r="D98" t="s">
        <v>79</v>
      </c>
      <c r="E98" t="s">
        <v>29</v>
      </c>
      <c r="F98" t="s">
        <v>30</v>
      </c>
      <c r="G98" t="s">
        <v>40</v>
      </c>
      <c r="H98" t="s">
        <v>41</v>
      </c>
      <c r="I98" s="1" t="s">
        <v>276</v>
      </c>
      <c r="J98" s="1" t="s">
        <v>214</v>
      </c>
      <c r="K98" t="s">
        <v>81</v>
      </c>
      <c r="L98" s="1" t="s">
        <v>215</v>
      </c>
      <c r="M98" s="1" t="s">
        <v>216</v>
      </c>
      <c r="N98" s="1" t="s">
        <v>403</v>
      </c>
    </row>
    <row r="99" spans="1:14" ht="76.5">
      <c r="A99">
        <f t="shared" si="1"/>
        <v>98</v>
      </c>
      <c r="B99" s="1" t="s">
        <v>404</v>
      </c>
      <c r="C99" t="s">
        <v>15</v>
      </c>
      <c r="D99" t="s">
        <v>49</v>
      </c>
      <c r="E99" t="s">
        <v>29</v>
      </c>
      <c r="F99" t="s">
        <v>405</v>
      </c>
      <c r="G99" t="s">
        <v>19</v>
      </c>
      <c r="H99" t="s">
        <v>406</v>
      </c>
      <c r="I99" s="1" t="s">
        <v>407</v>
      </c>
      <c r="J99" s="1" t="s">
        <v>43</v>
      </c>
      <c r="K99" t="s">
        <v>199</v>
      </c>
      <c r="L99" s="1" t="s">
        <v>408</v>
      </c>
      <c r="M99" s="1" t="s">
        <v>201</v>
      </c>
      <c r="N99" s="1" t="s">
        <v>409</v>
      </c>
    </row>
    <row r="100" spans="1:14" ht="76.5">
      <c r="A100">
        <f t="shared" si="1"/>
        <v>99</v>
      </c>
      <c r="B100" s="1" t="s">
        <v>410</v>
      </c>
      <c r="C100" t="s">
        <v>15</v>
      </c>
      <c r="D100" t="s">
        <v>58</v>
      </c>
      <c r="E100" t="s">
        <v>29</v>
      </c>
      <c r="F100" t="s">
        <v>30</v>
      </c>
      <c r="G100" t="s">
        <v>272</v>
      </c>
      <c r="H100" t="s">
        <v>41</v>
      </c>
      <c r="I100" s="1" t="s">
        <v>245</v>
      </c>
      <c r="J100" s="1" t="s">
        <v>411</v>
      </c>
      <c r="K100" t="s">
        <v>53</v>
      </c>
      <c r="L100" s="1" t="s">
        <v>322</v>
      </c>
      <c r="M100" s="1" t="s">
        <v>412</v>
      </c>
      <c r="N100" s="1" t="s">
        <v>413</v>
      </c>
    </row>
    <row r="101" spans="1:14" ht="91.5">
      <c r="A101">
        <f t="shared" si="1"/>
        <v>100</v>
      </c>
      <c r="B101" s="1" t="s">
        <v>414</v>
      </c>
      <c r="C101" t="s">
        <v>15</v>
      </c>
      <c r="D101" t="s">
        <v>415</v>
      </c>
      <c r="E101" t="s">
        <v>29</v>
      </c>
      <c r="F101" t="s">
        <v>30</v>
      </c>
      <c r="G101" t="s">
        <v>19</v>
      </c>
      <c r="H101" t="s">
        <v>41</v>
      </c>
      <c r="I101" s="1" t="s">
        <v>213</v>
      </c>
      <c r="J101" s="1" t="s">
        <v>214</v>
      </c>
      <c r="K101" t="s">
        <v>81</v>
      </c>
      <c r="L101" s="1" t="s">
        <v>215</v>
      </c>
      <c r="M101" s="1" t="s">
        <v>216</v>
      </c>
      <c r="N101" s="1" t="s">
        <v>416</v>
      </c>
    </row>
    <row r="102" spans="1:14" ht="121.5">
      <c r="A102">
        <f t="shared" si="1"/>
        <v>101</v>
      </c>
      <c r="B102" s="1" t="s">
        <v>417</v>
      </c>
      <c r="C102" t="s">
        <v>15</v>
      </c>
      <c r="D102" t="s">
        <v>58</v>
      </c>
      <c r="E102" t="s">
        <v>59</v>
      </c>
      <c r="F102" t="s">
        <v>30</v>
      </c>
      <c r="G102" t="s">
        <v>40</v>
      </c>
      <c r="H102" t="s">
        <v>41</v>
      </c>
      <c r="I102" s="1" t="s">
        <v>269</v>
      </c>
      <c r="J102" s="1" t="s">
        <v>222</v>
      </c>
      <c r="K102" t="s">
        <v>91</v>
      </c>
      <c r="L102" s="1" t="s">
        <v>223</v>
      </c>
      <c r="M102" s="1" t="s">
        <v>392</v>
      </c>
      <c r="N102" s="1" t="s">
        <v>418</v>
      </c>
    </row>
    <row r="103" spans="1:14" ht="91.5">
      <c r="A103">
        <f t="shared" si="1"/>
        <v>102</v>
      </c>
      <c r="B103" s="1" t="s">
        <v>419</v>
      </c>
      <c r="C103" t="s">
        <v>15</v>
      </c>
      <c r="D103" t="s">
        <v>58</v>
      </c>
      <c r="E103" t="s">
        <v>59</v>
      </c>
      <c r="F103" t="s">
        <v>405</v>
      </c>
      <c r="G103" t="s">
        <v>420</v>
      </c>
      <c r="H103" t="s">
        <v>406</v>
      </c>
      <c r="I103" s="1" t="s">
        <v>407</v>
      </c>
      <c r="J103" s="1" t="s">
        <v>43</v>
      </c>
      <c r="K103" t="s">
        <v>199</v>
      </c>
      <c r="L103" s="1" t="s">
        <v>408</v>
      </c>
      <c r="M103" s="1" t="s">
        <v>201</v>
      </c>
      <c r="N103" s="1" t="s">
        <v>421</v>
      </c>
    </row>
    <row r="104" spans="1:14" ht="91.5">
      <c r="A104">
        <f t="shared" si="1"/>
        <v>103</v>
      </c>
      <c r="B104" s="1" t="s">
        <v>422</v>
      </c>
      <c r="C104" t="s">
        <v>15</v>
      </c>
      <c r="D104" t="s">
        <v>345</v>
      </c>
      <c r="E104" t="s">
        <v>59</v>
      </c>
      <c r="F104" t="s">
        <v>30</v>
      </c>
      <c r="G104" t="s">
        <v>40</v>
      </c>
      <c r="H104" t="s">
        <v>41</v>
      </c>
      <c r="I104" s="1" t="s">
        <v>276</v>
      </c>
      <c r="J104" s="1" t="s">
        <v>214</v>
      </c>
      <c r="K104" t="s">
        <v>81</v>
      </c>
      <c r="L104" s="1" t="s">
        <v>215</v>
      </c>
      <c r="M104" s="1" t="s">
        <v>216</v>
      </c>
      <c r="N104" s="1" t="s">
        <v>423</v>
      </c>
    </row>
    <row r="105" spans="1:14" ht="121.5">
      <c r="A105">
        <f t="shared" si="1"/>
        <v>104</v>
      </c>
      <c r="B105" s="1" t="s">
        <v>424</v>
      </c>
      <c r="C105" t="s">
        <v>15</v>
      </c>
      <c r="D105" t="s">
        <v>58</v>
      </c>
      <c r="E105" t="s">
        <v>59</v>
      </c>
      <c r="F105" t="s">
        <v>30</v>
      </c>
      <c r="G105" t="s">
        <v>40</v>
      </c>
      <c r="H105" t="s">
        <v>41</v>
      </c>
      <c r="I105" s="1" t="s">
        <v>269</v>
      </c>
      <c r="J105" s="1" t="s">
        <v>356</v>
      </c>
      <c r="K105" t="s">
        <v>91</v>
      </c>
      <c r="L105" s="1" t="s">
        <v>207</v>
      </c>
      <c r="M105" s="1" t="s">
        <v>392</v>
      </c>
      <c r="N105" s="1" t="s">
        <v>425</v>
      </c>
    </row>
    <row r="106" spans="1:14" ht="76.5">
      <c r="A106">
        <f t="shared" si="1"/>
        <v>105</v>
      </c>
      <c r="B106" s="1" t="s">
        <v>426</v>
      </c>
      <c r="C106" t="s">
        <v>15</v>
      </c>
      <c r="D106" t="s">
        <v>116</v>
      </c>
      <c r="E106" t="s">
        <v>59</v>
      </c>
      <c r="F106" t="s">
        <v>30</v>
      </c>
      <c r="G106" t="s">
        <v>272</v>
      </c>
      <c r="H106" t="s">
        <v>41</v>
      </c>
      <c r="I106" s="1" t="s">
        <v>245</v>
      </c>
      <c r="J106" s="1" t="s">
        <v>43</v>
      </c>
      <c r="K106" t="s">
        <v>74</v>
      </c>
      <c r="L106" s="1" t="s">
        <v>408</v>
      </c>
      <c r="M106" s="1" t="s">
        <v>281</v>
      </c>
      <c r="N106" s="1" t="s">
        <v>427</v>
      </c>
    </row>
    <row r="107" spans="1:14" ht="106.5">
      <c r="A107">
        <f t="shared" si="1"/>
        <v>106</v>
      </c>
      <c r="B107" s="1" t="s">
        <v>428</v>
      </c>
      <c r="C107" t="s">
        <v>15</v>
      </c>
      <c r="D107" t="s">
        <v>168</v>
      </c>
      <c r="E107" t="s">
        <v>429</v>
      </c>
      <c r="F107" t="s">
        <v>18</v>
      </c>
      <c r="G107" t="s">
        <v>19</v>
      </c>
      <c r="H107" t="s">
        <v>298</v>
      </c>
      <c r="I107" s="1" t="s">
        <v>21</v>
      </c>
      <c r="J107" t="s">
        <v>32</v>
      </c>
      <c r="K107" t="s">
        <v>23</v>
      </c>
      <c r="L107" s="1" t="s">
        <v>24</v>
      </c>
      <c r="M107" s="1" t="s">
        <v>430</v>
      </c>
      <c r="N107" s="1" t="s">
        <v>431</v>
      </c>
    </row>
    <row r="108" spans="1:14" ht="106.5">
      <c r="A108">
        <f t="shared" si="1"/>
        <v>107</v>
      </c>
      <c r="B108" s="1" t="s">
        <v>432</v>
      </c>
      <c r="C108" t="s">
        <v>15</v>
      </c>
      <c r="D108" t="s">
        <v>168</v>
      </c>
      <c r="E108" t="s">
        <v>429</v>
      </c>
      <c r="F108" t="s">
        <v>18</v>
      </c>
      <c r="G108" t="s">
        <v>19</v>
      </c>
      <c r="H108" t="s">
        <v>20</v>
      </c>
      <c r="I108" s="1" t="s">
        <v>21</v>
      </c>
      <c r="J108" t="s">
        <v>32</v>
      </c>
      <c r="K108" t="s">
        <v>23</v>
      </c>
      <c r="L108" s="1" t="s">
        <v>24</v>
      </c>
      <c r="M108" s="1" t="s">
        <v>430</v>
      </c>
      <c r="N108" s="1" t="s">
        <v>433</v>
      </c>
    </row>
    <row r="109" spans="1:14" ht="91.5">
      <c r="A109">
        <f t="shared" si="1"/>
        <v>108</v>
      </c>
      <c r="B109" s="1" t="s">
        <v>434</v>
      </c>
      <c r="C109" t="s">
        <v>15</v>
      </c>
      <c r="D109" t="s">
        <v>163</v>
      </c>
      <c r="E109" t="s">
        <v>29</v>
      </c>
      <c r="F109" t="s">
        <v>30</v>
      </c>
      <c r="G109" t="s">
        <v>40</v>
      </c>
      <c r="H109" t="s">
        <v>303</v>
      </c>
      <c r="I109" s="1" t="s">
        <v>80</v>
      </c>
      <c r="J109" t="s">
        <v>9</v>
      </c>
      <c r="K109" t="s">
        <v>81</v>
      </c>
      <c r="L109" s="1" t="s">
        <v>215</v>
      </c>
      <c r="M109" s="1" t="s">
        <v>435</v>
      </c>
      <c r="N109" s="1" t="s">
        <v>436</v>
      </c>
    </row>
    <row r="110" spans="1:14" ht="91.5">
      <c r="A110">
        <f t="shared" si="1"/>
        <v>109</v>
      </c>
      <c r="B110" s="1" t="s">
        <v>437</v>
      </c>
      <c r="C110" t="s">
        <v>15</v>
      </c>
      <c r="D110" t="s">
        <v>163</v>
      </c>
      <c r="E110" t="s">
        <v>258</v>
      </c>
      <c r="F110" t="s">
        <v>30</v>
      </c>
      <c r="G110" t="s">
        <v>40</v>
      </c>
      <c r="H110" t="s">
        <v>303</v>
      </c>
      <c r="I110" s="1" t="s">
        <v>80</v>
      </c>
      <c r="J110" t="s">
        <v>9</v>
      </c>
      <c r="K110" t="s">
        <v>81</v>
      </c>
      <c r="L110" s="1" t="s">
        <v>215</v>
      </c>
      <c r="M110" s="1" t="s">
        <v>435</v>
      </c>
      <c r="N110" s="1" t="s">
        <v>438</v>
      </c>
    </row>
    <row r="111" spans="1:14" ht="60.75">
      <c r="A111">
        <f t="shared" si="1"/>
        <v>110</v>
      </c>
      <c r="B111" s="1" t="s">
        <v>439</v>
      </c>
      <c r="C111" t="s">
        <v>15</v>
      </c>
      <c r="D111" t="s">
        <v>16</v>
      </c>
      <c r="E111" t="s">
        <v>29</v>
      </c>
      <c r="F111" t="s">
        <v>30</v>
      </c>
      <c r="G111" t="s">
        <v>19</v>
      </c>
      <c r="H111" t="s">
        <v>319</v>
      </c>
      <c r="I111" s="1" t="s">
        <v>67</v>
      </c>
      <c r="J111" t="s">
        <v>32</v>
      </c>
      <c r="K111" t="s">
        <v>33</v>
      </c>
      <c r="L111" s="1" t="s">
        <v>34</v>
      </c>
      <c r="M111" s="1" t="s">
        <v>440</v>
      </c>
      <c r="N111" s="1" t="s">
        <v>441</v>
      </c>
    </row>
    <row r="112" spans="1:14" ht="60.75">
      <c r="A112">
        <f t="shared" si="1"/>
        <v>111</v>
      </c>
      <c r="B112" s="1" t="s">
        <v>442</v>
      </c>
      <c r="C112" t="s">
        <v>15</v>
      </c>
      <c r="D112" t="s">
        <v>327</v>
      </c>
      <c r="E112" t="s">
        <v>29</v>
      </c>
      <c r="F112" t="s">
        <v>30</v>
      </c>
      <c r="G112" t="s">
        <v>19</v>
      </c>
      <c r="H112" t="s">
        <v>319</v>
      </c>
      <c r="I112" s="1" t="s">
        <v>67</v>
      </c>
      <c r="J112" t="s">
        <v>32</v>
      </c>
      <c r="K112" t="s">
        <v>33</v>
      </c>
      <c r="L112" s="1" t="s">
        <v>34</v>
      </c>
      <c r="M112" s="1" t="s">
        <v>440</v>
      </c>
      <c r="N112" s="1" t="s">
        <v>443</v>
      </c>
    </row>
    <row r="113" spans="1:14" ht="60.75">
      <c r="A113">
        <f t="shared" si="1"/>
        <v>112</v>
      </c>
      <c r="B113" s="1" t="s">
        <v>444</v>
      </c>
      <c r="C113" t="s">
        <v>15</v>
      </c>
      <c r="D113" t="s">
        <v>16</v>
      </c>
      <c r="E113" t="s">
        <v>258</v>
      </c>
      <c r="F113" t="s">
        <v>30</v>
      </c>
      <c r="G113" t="s">
        <v>19</v>
      </c>
      <c r="H113" t="s">
        <v>319</v>
      </c>
      <c r="I113" s="1" t="s">
        <v>67</v>
      </c>
      <c r="J113" t="s">
        <v>32</v>
      </c>
      <c r="K113" t="s">
        <v>33</v>
      </c>
      <c r="L113" s="1" t="s">
        <v>34</v>
      </c>
      <c r="M113" s="1" t="s">
        <v>440</v>
      </c>
      <c r="N113" s="1" t="s">
        <v>445</v>
      </c>
    </row>
    <row r="114" spans="1:14" ht="76.5">
      <c r="A114">
        <f t="shared" si="1"/>
        <v>113</v>
      </c>
      <c r="B114" s="1" t="s">
        <v>446</v>
      </c>
      <c r="C114" t="s">
        <v>15</v>
      </c>
      <c r="D114" t="s">
        <v>447</v>
      </c>
      <c r="E114" t="s">
        <v>258</v>
      </c>
      <c r="F114" t="s">
        <v>30</v>
      </c>
      <c r="G114" t="s">
        <v>272</v>
      </c>
      <c r="H114" t="s">
        <v>41</v>
      </c>
      <c r="I114" s="1" t="s">
        <v>448</v>
      </c>
      <c r="J114" t="s">
        <v>449</v>
      </c>
      <c r="K114" t="s">
        <v>74</v>
      </c>
      <c r="L114" s="1" t="s">
        <v>200</v>
      </c>
      <c r="M114" s="1" t="s">
        <v>281</v>
      </c>
      <c r="N114" s="1" t="s">
        <v>427</v>
      </c>
    </row>
    <row r="115" spans="1:14" ht="76.5">
      <c r="A115">
        <f t="shared" si="1"/>
        <v>114</v>
      </c>
      <c r="B115" s="1" t="s">
        <v>450</v>
      </c>
      <c r="C115" t="s">
        <v>15</v>
      </c>
      <c r="D115" t="s">
        <v>140</v>
      </c>
      <c r="E115" t="s">
        <v>258</v>
      </c>
      <c r="F115" t="s">
        <v>30</v>
      </c>
      <c r="G115" t="s">
        <v>19</v>
      </c>
      <c r="H115" t="s">
        <v>303</v>
      </c>
      <c r="I115" s="1" t="s">
        <v>311</v>
      </c>
      <c r="J115" t="s">
        <v>9</v>
      </c>
      <c r="K115" t="s">
        <v>81</v>
      </c>
      <c r="L115" s="1" t="s">
        <v>215</v>
      </c>
      <c r="M115" s="1" t="s">
        <v>435</v>
      </c>
      <c r="N115" s="1" t="s">
        <v>451</v>
      </c>
    </row>
    <row r="116" spans="1:14" ht="91.5">
      <c r="A116">
        <f t="shared" si="1"/>
        <v>115</v>
      </c>
      <c r="B116" s="1" t="s">
        <v>452</v>
      </c>
      <c r="C116" t="s">
        <v>15</v>
      </c>
      <c r="D116" t="s">
        <v>179</v>
      </c>
      <c r="E116" t="s">
        <v>258</v>
      </c>
      <c r="F116" t="s">
        <v>30</v>
      </c>
      <c r="G116" t="s">
        <v>420</v>
      </c>
      <c r="H116" t="s">
        <v>406</v>
      </c>
      <c r="I116" s="1" t="s">
        <v>453</v>
      </c>
      <c r="J116" t="s">
        <v>43</v>
      </c>
      <c r="K116" t="s">
        <v>199</v>
      </c>
      <c r="L116" s="1" t="s">
        <v>200</v>
      </c>
      <c r="M116" s="1" t="s">
        <v>201</v>
      </c>
      <c r="N116" s="1" t="s">
        <v>421</v>
      </c>
    </row>
    <row r="117" spans="1:14" ht="106.5">
      <c r="A117">
        <f t="shared" si="1"/>
        <v>116</v>
      </c>
      <c r="B117" s="1" t="s">
        <v>454</v>
      </c>
      <c r="C117" t="s">
        <v>15</v>
      </c>
      <c r="D117" t="s">
        <v>58</v>
      </c>
      <c r="E117" t="s">
        <v>29</v>
      </c>
      <c r="F117" t="s">
        <v>97</v>
      </c>
      <c r="G117" t="s">
        <v>40</v>
      </c>
      <c r="H117" t="s">
        <v>41</v>
      </c>
      <c r="I117" s="1" t="s">
        <v>455</v>
      </c>
      <c r="J117" t="s">
        <v>456</v>
      </c>
      <c r="K117" t="s">
        <v>61</v>
      </c>
      <c r="L117" s="1" t="s">
        <v>99</v>
      </c>
      <c r="M117" s="1" t="s">
        <v>201</v>
      </c>
      <c r="N117" s="1" t="s">
        <v>457</v>
      </c>
    </row>
    <row r="118" spans="1:14" ht="76.5">
      <c r="A118">
        <f t="shared" si="1"/>
        <v>117</v>
      </c>
      <c r="B118" s="1" t="s">
        <v>458</v>
      </c>
      <c r="C118" t="s">
        <v>15</v>
      </c>
      <c r="D118" t="s">
        <v>345</v>
      </c>
      <c r="E118" t="s">
        <v>29</v>
      </c>
      <c r="F118" t="s">
        <v>30</v>
      </c>
      <c r="G118" t="s">
        <v>19</v>
      </c>
      <c r="H118" t="s">
        <v>303</v>
      </c>
      <c r="I118" s="1" t="s">
        <v>311</v>
      </c>
      <c r="J118" t="s">
        <v>9</v>
      </c>
      <c r="K118" t="s">
        <v>81</v>
      </c>
      <c r="L118" s="1" t="s">
        <v>215</v>
      </c>
      <c r="M118" s="1" t="s">
        <v>435</v>
      </c>
      <c r="N118" s="1" t="s">
        <v>459</v>
      </c>
    </row>
    <row r="119" spans="1:14" ht="121.5">
      <c r="A119">
        <f t="shared" si="1"/>
        <v>118</v>
      </c>
      <c r="B119" s="1" t="s">
        <v>287</v>
      </c>
      <c r="C119" t="s">
        <v>15</v>
      </c>
      <c r="D119" t="s">
        <v>159</v>
      </c>
      <c r="E119" t="s">
        <v>258</v>
      </c>
      <c r="F119" t="s">
        <v>97</v>
      </c>
      <c r="G119" t="s">
        <v>272</v>
      </c>
      <c r="H119" t="s">
        <v>41</v>
      </c>
      <c r="I119" s="1" t="s">
        <v>460</v>
      </c>
      <c r="J119" t="s">
        <v>461</v>
      </c>
      <c r="K119" t="s">
        <v>98</v>
      </c>
      <c r="L119" s="1" t="s">
        <v>99</v>
      </c>
      <c r="M119" s="1" t="s">
        <v>435</v>
      </c>
      <c r="N119" s="1" t="s">
        <v>462</v>
      </c>
    </row>
    <row r="120" spans="1:14" ht="76.5">
      <c r="A120">
        <f t="shared" si="1"/>
        <v>119</v>
      </c>
      <c r="B120" s="1" t="s">
        <v>463</v>
      </c>
      <c r="C120" t="s">
        <v>15</v>
      </c>
      <c r="D120" t="s">
        <v>28</v>
      </c>
      <c r="E120" t="s">
        <v>258</v>
      </c>
      <c r="F120" t="s">
        <v>30</v>
      </c>
      <c r="G120" t="s">
        <v>40</v>
      </c>
      <c r="H120" t="s">
        <v>319</v>
      </c>
      <c r="I120" s="1" t="s">
        <v>67</v>
      </c>
      <c r="J120" t="s">
        <v>32</v>
      </c>
      <c r="K120" t="s">
        <v>33</v>
      </c>
      <c r="L120" s="1" t="s">
        <v>34</v>
      </c>
      <c r="M120" s="1" t="s">
        <v>440</v>
      </c>
      <c r="N120" s="1" t="s">
        <v>464</v>
      </c>
    </row>
    <row r="121" spans="1:14" ht="106.5">
      <c r="A121">
        <f t="shared" si="1"/>
        <v>120</v>
      </c>
      <c r="B121" s="1" t="s">
        <v>465</v>
      </c>
      <c r="C121" t="s">
        <v>15</v>
      </c>
      <c r="D121" t="s">
        <v>179</v>
      </c>
      <c r="E121" t="s">
        <v>258</v>
      </c>
      <c r="F121" t="s">
        <v>30</v>
      </c>
      <c r="G121" t="s">
        <v>268</v>
      </c>
      <c r="H121" t="s">
        <v>303</v>
      </c>
      <c r="I121" s="1" t="s">
        <v>466</v>
      </c>
      <c r="J121" t="s">
        <v>467</v>
      </c>
      <c r="K121" t="s">
        <v>91</v>
      </c>
      <c r="L121" s="1" t="s">
        <v>305</v>
      </c>
      <c r="M121" s="1" t="s">
        <v>208</v>
      </c>
      <c r="N121" s="1" t="s">
        <v>468</v>
      </c>
    </row>
    <row r="122" spans="1:14" ht="183">
      <c r="A122">
        <f t="shared" si="1"/>
        <v>121</v>
      </c>
      <c r="B122" s="1" t="s">
        <v>469</v>
      </c>
      <c r="C122" t="s">
        <v>15</v>
      </c>
      <c r="D122" t="s">
        <v>470</v>
      </c>
      <c r="E122" s="1" t="s">
        <v>471</v>
      </c>
      <c r="F122" t="s">
        <v>30</v>
      </c>
      <c r="G122" t="s">
        <v>472</v>
      </c>
      <c r="H122" s="1" t="s">
        <v>473</v>
      </c>
      <c r="I122" s="1" t="s">
        <v>474</v>
      </c>
      <c r="J122" s="1" t="s">
        <v>277</v>
      </c>
      <c r="K122" t="s">
        <v>81</v>
      </c>
      <c r="L122" s="1" t="s">
        <v>475</v>
      </c>
      <c r="M122" s="1" t="s">
        <v>476</v>
      </c>
      <c r="N122" s="1" t="s">
        <v>477</v>
      </c>
    </row>
    <row r="123" spans="1:14" ht="198">
      <c r="A123">
        <f t="shared" si="1"/>
        <v>122</v>
      </c>
      <c r="B123" s="1" t="s">
        <v>478</v>
      </c>
      <c r="C123" t="s">
        <v>15</v>
      </c>
      <c r="D123" t="s">
        <v>479</v>
      </c>
      <c r="E123" s="1" t="s">
        <v>471</v>
      </c>
      <c r="F123" t="s">
        <v>30</v>
      </c>
      <c r="G123" t="s">
        <v>480</v>
      </c>
      <c r="H123" s="1" t="s">
        <v>41</v>
      </c>
      <c r="I123" s="1" t="s">
        <v>481</v>
      </c>
      <c r="J123" s="1" t="s">
        <v>482</v>
      </c>
      <c r="K123" t="s">
        <v>91</v>
      </c>
      <c r="L123" s="1" t="s">
        <v>483</v>
      </c>
      <c r="M123" s="1" t="s">
        <v>484</v>
      </c>
      <c r="N123" s="1" t="s">
        <v>485</v>
      </c>
    </row>
    <row r="124" spans="1:14" ht="198">
      <c r="A124">
        <f t="shared" si="1"/>
        <v>123</v>
      </c>
      <c r="B124" s="1" t="s">
        <v>486</v>
      </c>
      <c r="C124" t="s">
        <v>15</v>
      </c>
      <c r="D124" t="s">
        <v>487</v>
      </c>
      <c r="E124" s="1" t="s">
        <v>488</v>
      </c>
      <c r="F124" t="s">
        <v>30</v>
      </c>
      <c r="G124" t="s">
        <v>472</v>
      </c>
      <c r="H124" s="1" t="s">
        <v>489</v>
      </c>
      <c r="I124" s="1" t="s">
        <v>490</v>
      </c>
      <c r="J124" s="1" t="s">
        <v>491</v>
      </c>
      <c r="K124" t="s">
        <v>231</v>
      </c>
      <c r="L124" s="1" t="s">
        <v>492</v>
      </c>
      <c r="M124" s="1" t="s">
        <v>493</v>
      </c>
      <c r="N124" s="1" t="s">
        <v>494</v>
      </c>
    </row>
    <row r="125" spans="1:14" ht="229.5">
      <c r="A125">
        <f t="shared" si="1"/>
        <v>124</v>
      </c>
      <c r="B125" s="1" t="s">
        <v>495</v>
      </c>
      <c r="C125" t="s">
        <v>15</v>
      </c>
      <c r="D125" t="s">
        <v>496</v>
      </c>
      <c r="E125" s="1" t="s">
        <v>497</v>
      </c>
      <c r="F125" t="s">
        <v>498</v>
      </c>
      <c r="G125" t="s">
        <v>499</v>
      </c>
      <c r="H125" s="1" t="s">
        <v>383</v>
      </c>
      <c r="I125" s="1" t="s">
        <v>500</v>
      </c>
      <c r="J125" s="1" t="s">
        <v>501</v>
      </c>
      <c r="K125" t="s">
        <v>502</v>
      </c>
      <c r="L125" s="1" t="s">
        <v>503</v>
      </c>
      <c r="M125" s="1" t="s">
        <v>504</v>
      </c>
      <c r="N125" s="1" t="s">
        <v>505</v>
      </c>
    </row>
    <row r="126" spans="1:14" ht="198">
      <c r="A126">
        <f t="shared" si="1"/>
        <v>125</v>
      </c>
      <c r="B126" s="1" t="s">
        <v>506</v>
      </c>
      <c r="C126" t="s">
        <v>15</v>
      </c>
      <c r="D126" t="s">
        <v>507</v>
      </c>
      <c r="E126" s="1" t="s">
        <v>471</v>
      </c>
      <c r="F126" t="s">
        <v>30</v>
      </c>
      <c r="G126" t="s">
        <v>480</v>
      </c>
      <c r="H126" s="1" t="s">
        <v>41</v>
      </c>
      <c r="I126" s="1" t="s">
        <v>508</v>
      </c>
      <c r="J126" s="1" t="s">
        <v>482</v>
      </c>
      <c r="K126" t="s">
        <v>91</v>
      </c>
      <c r="L126" s="1" t="s">
        <v>483</v>
      </c>
      <c r="M126" s="1" t="s">
        <v>484</v>
      </c>
      <c r="N126" s="1" t="s">
        <v>509</v>
      </c>
    </row>
    <row r="127" spans="1:14" ht="93">
      <c r="A127">
        <f t="shared" si="1"/>
        <v>126</v>
      </c>
      <c r="B127" s="1" t="s">
        <v>510</v>
      </c>
      <c r="C127" t="s">
        <v>15</v>
      </c>
      <c r="D127" t="s">
        <v>479</v>
      </c>
      <c r="E127" s="1" t="s">
        <v>511</v>
      </c>
      <c r="F127" t="s">
        <v>511</v>
      </c>
      <c r="G127" t="s">
        <v>511</v>
      </c>
      <c r="H127" s="1" t="s">
        <v>511</v>
      </c>
      <c r="I127" s="1" t="s">
        <v>511</v>
      </c>
      <c r="J127" s="1" t="s">
        <v>511</v>
      </c>
      <c r="K127" t="s">
        <v>511</v>
      </c>
      <c r="L127" s="1" t="s">
        <v>511</v>
      </c>
      <c r="M127" s="1" t="s">
        <v>511</v>
      </c>
      <c r="N127" s="2" t="s">
        <v>512</v>
      </c>
    </row>
    <row r="128" spans="1:14" ht="198">
      <c r="A128">
        <f t="shared" si="1"/>
        <v>127</v>
      </c>
      <c r="B128" s="1" t="s">
        <v>513</v>
      </c>
      <c r="C128" t="s">
        <v>15</v>
      </c>
      <c r="D128" t="s">
        <v>514</v>
      </c>
      <c r="E128" s="1" t="s">
        <v>471</v>
      </c>
      <c r="F128" t="s">
        <v>30</v>
      </c>
      <c r="G128" t="s">
        <v>472</v>
      </c>
      <c r="H128" s="1" t="s">
        <v>515</v>
      </c>
      <c r="I128" s="1" t="s">
        <v>516</v>
      </c>
      <c r="J128" s="1" t="s">
        <v>517</v>
      </c>
      <c r="K128" t="s">
        <v>91</v>
      </c>
      <c r="L128" s="1" t="s">
        <v>518</v>
      </c>
      <c r="M128" s="1" t="s">
        <v>484</v>
      </c>
      <c r="N128" s="1" t="s">
        <v>519</v>
      </c>
    </row>
    <row r="129" spans="1:14" ht="213">
      <c r="A129">
        <f t="shared" si="1"/>
        <v>128</v>
      </c>
      <c r="B129" s="1" t="s">
        <v>520</v>
      </c>
      <c r="C129" t="s">
        <v>15</v>
      </c>
      <c r="D129" t="s">
        <v>521</v>
      </c>
      <c r="E129" s="1" t="s">
        <v>522</v>
      </c>
      <c r="F129" t="s">
        <v>523</v>
      </c>
      <c r="G129" t="s">
        <v>499</v>
      </c>
      <c r="H129" s="1" t="s">
        <v>524</v>
      </c>
      <c r="I129" s="1" t="s">
        <v>288</v>
      </c>
      <c r="J129" s="1" t="s">
        <v>501</v>
      </c>
      <c r="K129" t="s">
        <v>502</v>
      </c>
      <c r="L129" s="1" t="s">
        <v>503</v>
      </c>
      <c r="M129" s="1" t="s">
        <v>525</v>
      </c>
      <c r="N129" s="1" t="s">
        <v>526</v>
      </c>
    </row>
    <row r="130" spans="1:14" ht="198">
      <c r="A130">
        <f t="shared" si="1"/>
        <v>129</v>
      </c>
      <c r="B130" s="1" t="s">
        <v>527</v>
      </c>
      <c r="C130" t="s">
        <v>15</v>
      </c>
      <c r="D130" t="s">
        <v>479</v>
      </c>
      <c r="E130" s="1" t="s">
        <v>471</v>
      </c>
      <c r="F130" t="s">
        <v>30</v>
      </c>
      <c r="G130" t="s">
        <v>480</v>
      </c>
      <c r="H130" s="1" t="s">
        <v>41</v>
      </c>
      <c r="I130" s="1" t="s">
        <v>528</v>
      </c>
      <c r="J130" s="1" t="s">
        <v>529</v>
      </c>
      <c r="K130" t="s">
        <v>91</v>
      </c>
      <c r="L130" s="1" t="s">
        <v>518</v>
      </c>
      <c r="M130" s="1" t="s">
        <v>484</v>
      </c>
      <c r="N130" s="1" t="s">
        <v>530</v>
      </c>
    </row>
    <row r="131" spans="1:14" ht="167.25">
      <c r="A131">
        <f t="shared" ref="A131:A162" si="2">ROW()-1</f>
        <v>130</v>
      </c>
      <c r="B131" s="1" t="s">
        <v>531</v>
      </c>
      <c r="C131" t="s">
        <v>15</v>
      </c>
      <c r="D131" t="s">
        <v>532</v>
      </c>
      <c r="E131" s="1" t="s">
        <v>488</v>
      </c>
      <c r="F131" t="s">
        <v>30</v>
      </c>
      <c r="G131" t="s">
        <v>533</v>
      </c>
      <c r="H131" s="1" t="s">
        <v>41</v>
      </c>
      <c r="I131" s="1" t="s">
        <v>245</v>
      </c>
      <c r="J131" s="1" t="s">
        <v>534</v>
      </c>
      <c r="K131" t="s">
        <v>74</v>
      </c>
      <c r="L131" s="1" t="s">
        <v>535</v>
      </c>
      <c r="M131" s="1" t="s">
        <v>536</v>
      </c>
      <c r="N131" s="1" t="s">
        <v>537</v>
      </c>
    </row>
    <row r="132" spans="1:14" ht="152.25">
      <c r="A132">
        <f t="shared" si="2"/>
        <v>131</v>
      </c>
      <c r="B132" s="1" t="s">
        <v>538</v>
      </c>
      <c r="C132" t="s">
        <v>15</v>
      </c>
      <c r="D132" t="s">
        <v>539</v>
      </c>
      <c r="E132" s="1" t="s">
        <v>471</v>
      </c>
      <c r="F132" t="s">
        <v>30</v>
      </c>
      <c r="G132" t="s">
        <v>472</v>
      </c>
      <c r="H132" s="1" t="s">
        <v>31</v>
      </c>
      <c r="I132" s="1" t="s">
        <v>187</v>
      </c>
      <c r="J132" s="1" t="s">
        <v>540</v>
      </c>
      <c r="K132" t="s">
        <v>541</v>
      </c>
      <c r="L132" s="1" t="s">
        <v>542</v>
      </c>
      <c r="M132" s="1" t="s">
        <v>543</v>
      </c>
      <c r="N132" s="1" t="s">
        <v>544</v>
      </c>
    </row>
    <row r="133" spans="1:14" ht="213">
      <c r="A133">
        <f t="shared" si="2"/>
        <v>132</v>
      </c>
      <c r="B133" s="1" t="s">
        <v>545</v>
      </c>
      <c r="C133" t="s">
        <v>15</v>
      </c>
      <c r="D133" t="s">
        <v>487</v>
      </c>
      <c r="E133" s="1" t="s">
        <v>488</v>
      </c>
      <c r="F133" t="s">
        <v>30</v>
      </c>
      <c r="G133" t="s">
        <v>546</v>
      </c>
      <c r="H133" s="1" t="s">
        <v>489</v>
      </c>
      <c r="I133" s="1" t="s">
        <v>229</v>
      </c>
      <c r="J133" s="1" t="s">
        <v>491</v>
      </c>
      <c r="K133" t="s">
        <v>231</v>
      </c>
      <c r="L133" s="1" t="s">
        <v>492</v>
      </c>
      <c r="M133" s="1" t="s">
        <v>547</v>
      </c>
      <c r="N133" s="1" t="s">
        <v>548</v>
      </c>
    </row>
    <row r="134" spans="1:14" ht="167.25">
      <c r="A134">
        <f t="shared" si="2"/>
        <v>133</v>
      </c>
      <c r="B134" s="1" t="s">
        <v>549</v>
      </c>
      <c r="C134" t="s">
        <v>15</v>
      </c>
      <c r="D134" t="s">
        <v>550</v>
      </c>
      <c r="E134" s="1" t="s">
        <v>488</v>
      </c>
      <c r="F134" t="s">
        <v>30</v>
      </c>
      <c r="G134" t="s">
        <v>533</v>
      </c>
      <c r="H134" s="1" t="s">
        <v>41</v>
      </c>
      <c r="I134" s="1" t="s">
        <v>245</v>
      </c>
      <c r="J134" s="1" t="s">
        <v>534</v>
      </c>
      <c r="K134" t="s">
        <v>74</v>
      </c>
      <c r="L134" s="1" t="s">
        <v>535</v>
      </c>
      <c r="M134" s="1" t="s">
        <v>551</v>
      </c>
      <c r="N134" s="1" t="s">
        <v>552</v>
      </c>
    </row>
    <row r="135" spans="1:14" ht="183">
      <c r="A135">
        <f t="shared" si="2"/>
        <v>134</v>
      </c>
      <c r="B135" s="1" t="s">
        <v>553</v>
      </c>
      <c r="C135" t="s">
        <v>15</v>
      </c>
      <c r="D135" t="s">
        <v>554</v>
      </c>
      <c r="E135" s="1" t="s">
        <v>471</v>
      </c>
      <c r="F135" t="s">
        <v>30</v>
      </c>
      <c r="G135" t="s">
        <v>472</v>
      </c>
      <c r="H135" s="1" t="s">
        <v>41</v>
      </c>
      <c r="I135" s="1" t="s">
        <v>555</v>
      </c>
      <c r="J135" s="1" t="s">
        <v>277</v>
      </c>
      <c r="K135" t="s">
        <v>81</v>
      </c>
      <c r="L135" s="1" t="s">
        <v>475</v>
      </c>
      <c r="M135" s="1" t="s">
        <v>216</v>
      </c>
      <c r="N135" s="1" t="s">
        <v>556</v>
      </c>
    </row>
    <row r="136" spans="1:14" ht="213">
      <c r="A136">
        <f t="shared" si="2"/>
        <v>135</v>
      </c>
      <c r="B136" s="1" t="s">
        <v>557</v>
      </c>
      <c r="C136" t="s">
        <v>15</v>
      </c>
      <c r="D136" t="s">
        <v>558</v>
      </c>
      <c r="E136" s="1" t="s">
        <v>559</v>
      </c>
      <c r="F136" t="s">
        <v>560</v>
      </c>
      <c r="G136" t="s">
        <v>533</v>
      </c>
      <c r="H136" s="1" t="s">
        <v>41</v>
      </c>
      <c r="I136" s="1" t="s">
        <v>561</v>
      </c>
      <c r="J136" s="1" t="s">
        <v>562</v>
      </c>
      <c r="K136" t="s">
        <v>563</v>
      </c>
      <c r="L136" s="1" t="s">
        <v>564</v>
      </c>
      <c r="M136" s="1" t="s">
        <v>565</v>
      </c>
      <c r="N136" s="1" t="s">
        <v>566</v>
      </c>
    </row>
    <row r="137" spans="1:14" ht="91.5">
      <c r="A137">
        <f t="shared" si="2"/>
        <v>136</v>
      </c>
      <c r="B137" s="1" t="s">
        <v>567</v>
      </c>
      <c r="C137" t="s">
        <v>15</v>
      </c>
      <c r="D137" t="s">
        <v>49</v>
      </c>
      <c r="E137" t="s">
        <v>258</v>
      </c>
      <c r="F137" t="s">
        <v>30</v>
      </c>
      <c r="G137" t="s">
        <v>19</v>
      </c>
      <c r="H137" t="s">
        <v>197</v>
      </c>
      <c r="I137" s="1" t="s">
        <v>568</v>
      </c>
      <c r="J137" s="1" t="s">
        <v>43</v>
      </c>
      <c r="K137" t="s">
        <v>199</v>
      </c>
      <c r="L137" s="1" t="s">
        <v>569</v>
      </c>
      <c r="M137" s="1" t="s">
        <v>201</v>
      </c>
      <c r="N137" s="1" t="s">
        <v>421</v>
      </c>
    </row>
    <row r="138" spans="1:14" ht="76.5">
      <c r="A138">
        <f t="shared" si="2"/>
        <v>137</v>
      </c>
      <c r="B138" s="1" t="s">
        <v>570</v>
      </c>
      <c r="C138" t="s">
        <v>15</v>
      </c>
      <c r="D138" t="s">
        <v>96</v>
      </c>
      <c r="E138" t="s">
        <v>258</v>
      </c>
      <c r="F138" t="s">
        <v>30</v>
      </c>
      <c r="G138" t="s">
        <v>272</v>
      </c>
      <c r="H138" t="s">
        <v>41</v>
      </c>
      <c r="I138" s="1" t="s">
        <v>571</v>
      </c>
      <c r="J138" s="1" t="s">
        <v>246</v>
      </c>
      <c r="K138" t="s">
        <v>53</v>
      </c>
      <c r="L138" s="1" t="s">
        <v>572</v>
      </c>
      <c r="M138" s="1" t="s">
        <v>248</v>
      </c>
      <c r="N138" s="1" t="s">
        <v>573</v>
      </c>
    </row>
    <row r="139" spans="1:14" ht="91.5">
      <c r="A139">
        <f t="shared" si="2"/>
        <v>138</v>
      </c>
      <c r="B139" s="1" t="s">
        <v>574</v>
      </c>
      <c r="C139" t="s">
        <v>15</v>
      </c>
      <c r="D139" t="s">
        <v>49</v>
      </c>
      <c r="E139" t="s">
        <v>29</v>
      </c>
      <c r="F139" t="s">
        <v>30</v>
      </c>
      <c r="G139" t="s">
        <v>268</v>
      </c>
      <c r="H139" t="s">
        <v>41</v>
      </c>
      <c r="I139" s="1" t="s">
        <v>575</v>
      </c>
      <c r="J139" s="1" t="s">
        <v>576</v>
      </c>
      <c r="K139" t="s">
        <v>91</v>
      </c>
      <c r="L139" s="1" t="s">
        <v>314</v>
      </c>
      <c r="M139" s="1" t="s">
        <v>306</v>
      </c>
      <c r="N139" s="1" t="s">
        <v>577</v>
      </c>
    </row>
    <row r="140" spans="1:14" ht="76.5">
      <c r="A140">
        <f t="shared" si="2"/>
        <v>139</v>
      </c>
      <c r="B140" s="1" t="s">
        <v>578</v>
      </c>
      <c r="C140" t="s">
        <v>15</v>
      </c>
      <c r="D140" t="s">
        <v>179</v>
      </c>
      <c r="E140" t="s">
        <v>29</v>
      </c>
      <c r="F140" t="s">
        <v>30</v>
      </c>
      <c r="G140" t="s">
        <v>19</v>
      </c>
      <c r="H140" t="s">
        <v>197</v>
      </c>
      <c r="I140" s="1" t="s">
        <v>568</v>
      </c>
      <c r="J140" s="1" t="s">
        <v>43</v>
      </c>
      <c r="K140" t="s">
        <v>199</v>
      </c>
      <c r="L140" s="1" t="s">
        <v>569</v>
      </c>
      <c r="M140" s="1" t="s">
        <v>201</v>
      </c>
      <c r="N140" s="1" t="s">
        <v>409</v>
      </c>
    </row>
    <row r="141" spans="1:14" ht="60.75">
      <c r="A141">
        <f t="shared" si="2"/>
        <v>140</v>
      </c>
      <c r="B141" s="1" t="s">
        <v>579</v>
      </c>
      <c r="C141" t="s">
        <v>15</v>
      </c>
      <c r="D141" t="s">
        <v>285</v>
      </c>
      <c r="E141" t="s">
        <v>258</v>
      </c>
      <c r="F141" t="s">
        <v>30</v>
      </c>
      <c r="G141" t="s">
        <v>19</v>
      </c>
      <c r="H141" t="s">
        <v>41</v>
      </c>
      <c r="I141" s="1" t="s">
        <v>258</v>
      </c>
      <c r="J141" s="1" t="s">
        <v>32</v>
      </c>
      <c r="K141" t="s">
        <v>81</v>
      </c>
      <c r="L141" s="1" t="s">
        <v>215</v>
      </c>
      <c r="M141" s="1" t="s">
        <v>435</v>
      </c>
      <c r="N141" s="1" t="s">
        <v>580</v>
      </c>
    </row>
    <row r="142" spans="1:14" ht="91.5">
      <c r="A142">
        <f t="shared" si="2"/>
        <v>141</v>
      </c>
      <c r="B142" s="1" t="s">
        <v>581</v>
      </c>
      <c r="C142" t="s">
        <v>15</v>
      </c>
      <c r="D142" t="s">
        <v>66</v>
      </c>
      <c r="E142" t="s">
        <v>29</v>
      </c>
      <c r="F142" t="s">
        <v>30</v>
      </c>
      <c r="G142" t="s">
        <v>268</v>
      </c>
      <c r="H142" t="s">
        <v>41</v>
      </c>
      <c r="I142" s="1" t="s">
        <v>575</v>
      </c>
      <c r="J142" s="1" t="s">
        <v>576</v>
      </c>
      <c r="K142" t="s">
        <v>91</v>
      </c>
      <c r="L142" s="1" t="s">
        <v>314</v>
      </c>
      <c r="M142" s="1" t="s">
        <v>306</v>
      </c>
      <c r="N142" s="1" t="s">
        <v>577</v>
      </c>
    </row>
    <row r="143" spans="1:14" ht="76.5">
      <c r="A143">
        <f t="shared" si="2"/>
        <v>142</v>
      </c>
      <c r="B143" s="1" t="s">
        <v>582</v>
      </c>
      <c r="C143" t="s">
        <v>15</v>
      </c>
      <c r="D143" t="s">
        <v>168</v>
      </c>
      <c r="E143" t="s">
        <v>29</v>
      </c>
      <c r="F143" t="s">
        <v>30</v>
      </c>
      <c r="G143" t="s">
        <v>260</v>
      </c>
      <c r="H143" t="s">
        <v>31</v>
      </c>
      <c r="I143" s="1" t="s">
        <v>67</v>
      </c>
      <c r="J143" s="1" t="s">
        <v>32</v>
      </c>
      <c r="K143" t="s">
        <v>33</v>
      </c>
      <c r="L143" s="1" t="s">
        <v>34</v>
      </c>
      <c r="M143" s="1" t="s">
        <v>250</v>
      </c>
      <c r="N143" s="1" t="s">
        <v>583</v>
      </c>
    </row>
    <row r="144" spans="1:14" ht="76.5">
      <c r="A144">
        <f t="shared" si="2"/>
        <v>143</v>
      </c>
      <c r="B144" s="1" t="s">
        <v>584</v>
      </c>
      <c r="C144" t="s">
        <v>15</v>
      </c>
      <c r="D144" t="s">
        <v>415</v>
      </c>
      <c r="E144" t="s">
        <v>258</v>
      </c>
      <c r="F144" t="s">
        <v>30</v>
      </c>
      <c r="G144" t="s">
        <v>260</v>
      </c>
      <c r="H144" t="s">
        <v>41</v>
      </c>
      <c r="I144" s="1" t="s">
        <v>80</v>
      </c>
      <c r="J144" s="1" t="s">
        <v>32</v>
      </c>
      <c r="K144" t="s">
        <v>81</v>
      </c>
      <c r="L144" s="1" t="s">
        <v>215</v>
      </c>
      <c r="M144" s="1" t="s">
        <v>435</v>
      </c>
      <c r="N144" s="1" t="s">
        <v>309</v>
      </c>
    </row>
    <row r="145" spans="1:14" ht="91.5">
      <c r="A145">
        <f t="shared" si="2"/>
        <v>144</v>
      </c>
      <c r="B145" s="1" t="s">
        <v>585</v>
      </c>
      <c r="C145" t="s">
        <v>15</v>
      </c>
      <c r="D145" t="s">
        <v>168</v>
      </c>
      <c r="E145" t="s">
        <v>29</v>
      </c>
      <c r="F145" t="s">
        <v>586</v>
      </c>
      <c r="G145" t="s">
        <v>19</v>
      </c>
      <c r="H145" t="s">
        <v>298</v>
      </c>
      <c r="I145" s="1" t="s">
        <v>21</v>
      </c>
      <c r="J145" s="1" t="s">
        <v>32</v>
      </c>
      <c r="K145" t="s">
        <v>23</v>
      </c>
      <c r="L145" s="1" t="s">
        <v>24</v>
      </c>
      <c r="M145" s="1" t="s">
        <v>587</v>
      </c>
      <c r="N145" s="1" t="s">
        <v>588</v>
      </c>
    </row>
    <row r="146" spans="1:14" ht="60.75">
      <c r="A146">
        <f t="shared" si="2"/>
        <v>145</v>
      </c>
      <c r="B146" s="1" t="s">
        <v>589</v>
      </c>
      <c r="C146" t="s">
        <v>15</v>
      </c>
      <c r="D146" t="s">
        <v>16</v>
      </c>
      <c r="E146" t="s">
        <v>29</v>
      </c>
      <c r="F146" t="s">
        <v>30</v>
      </c>
      <c r="G146" t="s">
        <v>260</v>
      </c>
      <c r="H146" t="s">
        <v>31</v>
      </c>
      <c r="I146" s="1" t="s">
        <v>67</v>
      </c>
      <c r="J146" s="1" t="s">
        <v>32</v>
      </c>
      <c r="K146" t="s">
        <v>33</v>
      </c>
      <c r="L146" s="1" t="s">
        <v>34</v>
      </c>
      <c r="M146" s="1" t="s">
        <v>250</v>
      </c>
      <c r="N146" s="1" t="s">
        <v>590</v>
      </c>
    </row>
    <row r="147" spans="1:14" ht="76.5">
      <c r="A147">
        <f t="shared" si="2"/>
        <v>146</v>
      </c>
      <c r="B147" s="1" t="s">
        <v>591</v>
      </c>
      <c r="C147" t="s">
        <v>15</v>
      </c>
      <c r="D147" t="s">
        <v>112</v>
      </c>
      <c r="E147" t="s">
        <v>258</v>
      </c>
      <c r="F147" t="s">
        <v>30</v>
      </c>
      <c r="G147" t="s">
        <v>19</v>
      </c>
      <c r="H147" t="s">
        <v>41</v>
      </c>
      <c r="I147" s="1" t="s">
        <v>258</v>
      </c>
      <c r="J147" s="1" t="s">
        <v>32</v>
      </c>
      <c r="K147" t="s">
        <v>81</v>
      </c>
      <c r="L147" s="1" t="s">
        <v>215</v>
      </c>
      <c r="M147" s="1" t="s">
        <v>435</v>
      </c>
      <c r="N147" s="1" t="s">
        <v>592</v>
      </c>
    </row>
    <row r="148" spans="1:14" ht="76.5">
      <c r="A148">
        <f t="shared" si="2"/>
        <v>147</v>
      </c>
      <c r="B148" s="1" t="s">
        <v>593</v>
      </c>
      <c r="C148" t="s">
        <v>15</v>
      </c>
      <c r="D148" t="s">
        <v>395</v>
      </c>
      <c r="E148" t="s">
        <v>29</v>
      </c>
      <c r="F148" t="s">
        <v>97</v>
      </c>
      <c r="G148" t="s">
        <v>272</v>
      </c>
      <c r="H148" t="s">
        <v>41</v>
      </c>
      <c r="I148" s="1" t="s">
        <v>594</v>
      </c>
      <c r="J148" s="1" t="s">
        <v>32</v>
      </c>
      <c r="K148" t="s">
        <v>98</v>
      </c>
      <c r="L148" s="1" t="s">
        <v>99</v>
      </c>
      <c r="M148" s="1" t="s">
        <v>281</v>
      </c>
      <c r="N148" s="1" t="s">
        <v>595</v>
      </c>
    </row>
    <row r="149" spans="1:14" ht="106.5">
      <c r="A149">
        <f t="shared" si="2"/>
        <v>148</v>
      </c>
      <c r="B149" s="1" t="s">
        <v>596</v>
      </c>
      <c r="C149" t="s">
        <v>15</v>
      </c>
      <c r="D149" t="s">
        <v>66</v>
      </c>
      <c r="E149" t="s">
        <v>258</v>
      </c>
      <c r="F149" t="s">
        <v>30</v>
      </c>
      <c r="G149" t="s">
        <v>260</v>
      </c>
      <c r="H149" t="s">
        <v>41</v>
      </c>
      <c r="I149" s="1" t="s">
        <v>575</v>
      </c>
      <c r="J149" s="1" t="s">
        <v>597</v>
      </c>
      <c r="K149" t="s">
        <v>91</v>
      </c>
      <c r="L149" s="1" t="s">
        <v>305</v>
      </c>
      <c r="M149" s="1" t="s">
        <v>306</v>
      </c>
      <c r="N149" s="1" t="s">
        <v>598</v>
      </c>
    </row>
    <row r="150" spans="1:14" ht="76.5">
      <c r="A150">
        <f t="shared" si="2"/>
        <v>149</v>
      </c>
      <c r="B150" s="1" t="s">
        <v>599</v>
      </c>
      <c r="C150" t="s">
        <v>15</v>
      </c>
      <c r="D150" t="s">
        <v>66</v>
      </c>
      <c r="E150" t="s">
        <v>29</v>
      </c>
      <c r="F150" t="s">
        <v>30</v>
      </c>
      <c r="G150" t="s">
        <v>272</v>
      </c>
      <c r="H150" t="s">
        <v>41</v>
      </c>
      <c r="I150" s="1" t="s">
        <v>571</v>
      </c>
      <c r="J150" s="1" t="s">
        <v>246</v>
      </c>
      <c r="K150" t="s">
        <v>53</v>
      </c>
      <c r="L150" s="1" t="s">
        <v>572</v>
      </c>
      <c r="M150" s="1" t="s">
        <v>248</v>
      </c>
      <c r="N150" s="1" t="s">
        <v>381</v>
      </c>
    </row>
    <row r="151" spans="1:14" ht="76.5">
      <c r="A151">
        <f t="shared" si="2"/>
        <v>150</v>
      </c>
      <c r="B151" s="1" t="s">
        <v>600</v>
      </c>
      <c r="C151" t="s">
        <v>15</v>
      </c>
      <c r="D151" t="s">
        <v>179</v>
      </c>
      <c r="E151" t="s">
        <v>29</v>
      </c>
      <c r="F151" t="s">
        <v>30</v>
      </c>
      <c r="G151" t="s">
        <v>272</v>
      </c>
      <c r="H151" t="s">
        <v>41</v>
      </c>
      <c r="I151" s="1" t="s">
        <v>571</v>
      </c>
      <c r="J151" s="1" t="s">
        <v>246</v>
      </c>
      <c r="K151" t="s">
        <v>53</v>
      </c>
      <c r="L151" s="1" t="s">
        <v>572</v>
      </c>
      <c r="M151" s="1" t="s">
        <v>248</v>
      </c>
      <c r="N151" s="1" t="s">
        <v>381</v>
      </c>
    </row>
    <row r="152" spans="1:14" ht="121.5">
      <c r="A152">
        <f t="shared" si="2"/>
        <v>151</v>
      </c>
      <c r="B152" s="1" t="s">
        <v>601</v>
      </c>
      <c r="C152" t="s">
        <v>15</v>
      </c>
      <c r="D152" t="s">
        <v>447</v>
      </c>
      <c r="E152" t="s">
        <v>29</v>
      </c>
      <c r="F152" t="s">
        <v>30</v>
      </c>
      <c r="G152" t="s">
        <v>602</v>
      </c>
      <c r="H152" t="s">
        <v>41</v>
      </c>
      <c r="I152" t="s">
        <v>571</v>
      </c>
      <c r="J152" s="1" t="s">
        <v>43</v>
      </c>
      <c r="K152" t="s">
        <v>74</v>
      </c>
      <c r="L152" s="1" t="s">
        <v>200</v>
      </c>
      <c r="M152" s="1" t="s">
        <v>133</v>
      </c>
      <c r="N152" s="1" t="s">
        <v>603</v>
      </c>
    </row>
    <row r="153" spans="1:14" ht="106.5">
      <c r="A153">
        <f t="shared" si="2"/>
        <v>152</v>
      </c>
      <c r="B153" s="1" t="s">
        <v>604</v>
      </c>
      <c r="C153" t="s">
        <v>15</v>
      </c>
      <c r="D153" t="s">
        <v>16</v>
      </c>
      <c r="E153" t="s">
        <v>296</v>
      </c>
      <c r="F153" t="s">
        <v>297</v>
      </c>
      <c r="G153" t="s">
        <v>605</v>
      </c>
      <c r="H153" t="s">
        <v>169</v>
      </c>
      <c r="I153" t="s">
        <v>606</v>
      </c>
      <c r="J153" s="1" t="s">
        <v>32</v>
      </c>
      <c r="K153" t="s">
        <v>23</v>
      </c>
      <c r="L153" s="1" t="s">
        <v>24</v>
      </c>
      <c r="M153" s="1" t="s">
        <v>389</v>
      </c>
      <c r="N153" s="1" t="s">
        <v>607</v>
      </c>
    </row>
    <row r="154" spans="1:14" ht="121.5">
      <c r="A154">
        <f t="shared" si="2"/>
        <v>153</v>
      </c>
      <c r="B154" s="1" t="s">
        <v>608</v>
      </c>
      <c r="C154" t="s">
        <v>15</v>
      </c>
      <c r="D154" t="s">
        <v>179</v>
      </c>
      <c r="E154" t="s">
        <v>258</v>
      </c>
      <c r="F154" t="s">
        <v>30</v>
      </c>
      <c r="G154" t="s">
        <v>19</v>
      </c>
      <c r="H154" t="s">
        <v>303</v>
      </c>
      <c r="I154" t="s">
        <v>269</v>
      </c>
      <c r="J154" s="1" t="s">
        <v>609</v>
      </c>
      <c r="K154" t="s">
        <v>91</v>
      </c>
      <c r="L154" s="1" t="s">
        <v>610</v>
      </c>
      <c r="M154" s="1" t="s">
        <v>306</v>
      </c>
      <c r="N154" s="1" t="s">
        <v>611</v>
      </c>
    </row>
    <row r="155" spans="1:14" ht="91.5">
      <c r="A155">
        <f t="shared" si="2"/>
        <v>154</v>
      </c>
      <c r="B155" s="1" t="s">
        <v>612</v>
      </c>
      <c r="C155" t="s">
        <v>15</v>
      </c>
      <c r="D155" t="s">
        <v>58</v>
      </c>
      <c r="E155" t="s">
        <v>258</v>
      </c>
      <c r="F155" t="s">
        <v>30</v>
      </c>
      <c r="G155" t="s">
        <v>605</v>
      </c>
      <c r="H155" t="s">
        <v>406</v>
      </c>
      <c r="I155" t="s">
        <v>407</v>
      </c>
      <c r="J155" s="1" t="s">
        <v>43</v>
      </c>
      <c r="K155" t="s">
        <v>199</v>
      </c>
      <c r="L155" s="1" t="s">
        <v>200</v>
      </c>
      <c r="M155" s="1" t="s">
        <v>613</v>
      </c>
      <c r="N155" s="1" t="s">
        <v>614</v>
      </c>
    </row>
    <row r="156" spans="1:14" ht="106.5">
      <c r="A156">
        <f t="shared" si="2"/>
        <v>155</v>
      </c>
      <c r="B156" s="1" t="s">
        <v>615</v>
      </c>
      <c r="C156" t="s">
        <v>15</v>
      </c>
      <c r="D156" t="s">
        <v>66</v>
      </c>
      <c r="E156" t="s">
        <v>258</v>
      </c>
      <c r="F156" t="s">
        <v>30</v>
      </c>
      <c r="G156" t="s">
        <v>616</v>
      </c>
      <c r="H156" t="s">
        <v>303</v>
      </c>
      <c r="I156" t="s">
        <v>269</v>
      </c>
      <c r="J156" s="1" t="s">
        <v>609</v>
      </c>
      <c r="K156" t="s">
        <v>91</v>
      </c>
      <c r="L156" s="1" t="s">
        <v>610</v>
      </c>
      <c r="M156" s="1" t="s">
        <v>306</v>
      </c>
      <c r="N156" s="1" t="s">
        <v>617</v>
      </c>
    </row>
    <row r="157" spans="1:14" ht="106.5">
      <c r="A157">
        <f t="shared" si="2"/>
        <v>156</v>
      </c>
      <c r="B157" s="1" t="s">
        <v>618</v>
      </c>
      <c r="C157" t="s">
        <v>15</v>
      </c>
      <c r="D157" t="s">
        <v>58</v>
      </c>
      <c r="E157" t="s">
        <v>258</v>
      </c>
      <c r="F157" t="s">
        <v>30</v>
      </c>
      <c r="G157" t="s">
        <v>602</v>
      </c>
      <c r="H157" t="s">
        <v>41</v>
      </c>
      <c r="I157" t="s">
        <v>571</v>
      </c>
      <c r="J157" s="1" t="s">
        <v>246</v>
      </c>
      <c r="K157" t="s">
        <v>53</v>
      </c>
      <c r="L157" s="1" t="s">
        <v>322</v>
      </c>
      <c r="M157" s="1" t="s">
        <v>619</v>
      </c>
      <c r="N157" s="1" t="s">
        <v>620</v>
      </c>
    </row>
    <row r="158" spans="1:14" ht="106.5">
      <c r="A158">
        <f t="shared" si="2"/>
        <v>157</v>
      </c>
      <c r="B158" s="1" t="s">
        <v>621</v>
      </c>
      <c r="C158" t="s">
        <v>15</v>
      </c>
      <c r="D158" t="s">
        <v>58</v>
      </c>
      <c r="E158" t="s">
        <v>29</v>
      </c>
      <c r="F158" t="s">
        <v>30</v>
      </c>
      <c r="G158" t="s">
        <v>346</v>
      </c>
      <c r="H158" t="s">
        <v>303</v>
      </c>
      <c r="I158" t="s">
        <v>269</v>
      </c>
      <c r="J158" s="1" t="s">
        <v>622</v>
      </c>
      <c r="K158" t="s">
        <v>91</v>
      </c>
      <c r="L158" s="1" t="s">
        <v>623</v>
      </c>
      <c r="M158" s="1" t="s">
        <v>306</v>
      </c>
      <c r="N158" s="1" t="s">
        <v>624</v>
      </c>
    </row>
    <row r="159" spans="1:14" ht="106.5">
      <c r="A159">
        <f t="shared" si="2"/>
        <v>158</v>
      </c>
      <c r="B159" s="1" t="s">
        <v>625</v>
      </c>
      <c r="C159" t="s">
        <v>15</v>
      </c>
      <c r="D159" t="s">
        <v>179</v>
      </c>
      <c r="E159" t="s">
        <v>29</v>
      </c>
      <c r="F159" t="s">
        <v>30</v>
      </c>
      <c r="G159" t="s">
        <v>616</v>
      </c>
      <c r="H159" t="s">
        <v>303</v>
      </c>
      <c r="I159" t="s">
        <v>269</v>
      </c>
      <c r="J159" s="1" t="s">
        <v>222</v>
      </c>
      <c r="K159" t="s">
        <v>91</v>
      </c>
      <c r="L159" s="1" t="s">
        <v>623</v>
      </c>
      <c r="M159" s="1" t="s">
        <v>306</v>
      </c>
      <c r="N159" s="1" t="s">
        <v>626</v>
      </c>
    </row>
    <row r="160" spans="1:14" ht="76.5">
      <c r="A160">
        <f t="shared" si="2"/>
        <v>159</v>
      </c>
      <c r="B160" s="1" t="s">
        <v>627</v>
      </c>
      <c r="C160" t="s">
        <v>15</v>
      </c>
      <c r="D160" t="s">
        <v>285</v>
      </c>
      <c r="E160" t="s">
        <v>29</v>
      </c>
      <c r="F160" t="s">
        <v>30</v>
      </c>
      <c r="G160" t="s">
        <v>342</v>
      </c>
      <c r="H160" t="s">
        <v>41</v>
      </c>
      <c r="I160" t="s">
        <v>311</v>
      </c>
      <c r="J160" s="1" t="s">
        <v>214</v>
      </c>
      <c r="K160" t="s">
        <v>81</v>
      </c>
      <c r="L160" s="1" t="s">
        <v>215</v>
      </c>
      <c r="M160" s="1" t="s">
        <v>628</v>
      </c>
      <c r="N160" s="1" t="s">
        <v>629</v>
      </c>
    </row>
    <row r="161" spans="1:14" ht="121.5">
      <c r="A161">
        <f t="shared" si="2"/>
        <v>160</v>
      </c>
      <c r="B161" s="1" t="s">
        <v>630</v>
      </c>
      <c r="C161" t="s">
        <v>15</v>
      </c>
      <c r="D161" t="s">
        <v>631</v>
      </c>
      <c r="E161" t="s">
        <v>258</v>
      </c>
      <c r="F161" t="s">
        <v>30</v>
      </c>
      <c r="G161" t="s">
        <v>602</v>
      </c>
      <c r="H161" t="s">
        <v>41</v>
      </c>
      <c r="I161" t="s">
        <v>571</v>
      </c>
      <c r="J161" s="1" t="s">
        <v>43</v>
      </c>
      <c r="K161" t="s">
        <v>74</v>
      </c>
      <c r="L161" s="1" t="s">
        <v>200</v>
      </c>
      <c r="M161" s="1" t="s">
        <v>133</v>
      </c>
      <c r="N161" s="1" t="s">
        <v>632</v>
      </c>
    </row>
    <row r="162" spans="1:14" ht="121.5">
      <c r="A162">
        <f t="shared" si="2"/>
        <v>161</v>
      </c>
      <c r="B162" s="1" t="s">
        <v>633</v>
      </c>
      <c r="C162" t="s">
        <v>15</v>
      </c>
      <c r="D162" t="s">
        <v>49</v>
      </c>
      <c r="E162" t="s">
        <v>29</v>
      </c>
      <c r="F162" t="s">
        <v>30</v>
      </c>
      <c r="G162" t="s">
        <v>363</v>
      </c>
      <c r="H162" t="s">
        <v>303</v>
      </c>
      <c r="I162" t="s">
        <v>269</v>
      </c>
      <c r="J162" s="1" t="s">
        <v>622</v>
      </c>
      <c r="K162" t="s">
        <v>91</v>
      </c>
      <c r="L162" s="1" t="s">
        <v>623</v>
      </c>
      <c r="M162" s="1" t="s">
        <v>306</v>
      </c>
      <c r="N162" s="1" t="s">
        <v>634</v>
      </c>
    </row>
  </sheetData>
  <hyperlinks>
    <hyperlink ref="N127" r:id="rId1" xr:uid="{8213BBED-DE04-47B1-A603-E8134BEB873C}"/>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2025-10-11T14:17:02Z</dcterms:created>
  <dcterms:modified xsi:type="dcterms:W3CDTF">2025-10-11T14:49:41Z</dcterms:modified>
  <cp:category/>
  <cp:contentStatus/>
</cp:coreProperties>
</file>